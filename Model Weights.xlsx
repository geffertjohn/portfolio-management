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defaultThemeVersion="202300"/>
  <mc:AlternateContent xmlns:mc="http://schemas.openxmlformats.org/markup-compatibility/2006">
    <mc:Choice Requires="x15">
      <x15ac:absPath xmlns:x15ac="http://schemas.microsoft.com/office/spreadsheetml/2010/11/ac" url="/Users/johngeffert/Desktop/"/>
    </mc:Choice>
  </mc:AlternateContent>
  <xr:revisionPtr revIDLastSave="0" documentId="13_ncr:1_{667C15F8-74E0-DF42-B43D-3B35E3D30798}" xr6:coauthVersionLast="47" xr6:coauthVersionMax="47" xr10:uidLastSave="{00000000-0000-0000-0000-000000000000}"/>
  <bookViews>
    <workbookView xWindow="-25620" yWindow="620" windowWidth="25620" windowHeight="28180" activeTab="6" xr2:uid="{D88CCA6B-1BC9-E14C-A2A3-D36433C0326C}"/>
  </bookViews>
  <sheets>
    <sheet name="ETF" sheetId="4" r:id="rId1"/>
    <sheet name="Hybrid" sheetId="5" r:id="rId2"/>
    <sheet name="Foundation (MF)" sheetId="7" r:id="rId3"/>
    <sheet name="Scorecards" sheetId="8" r:id="rId4"/>
    <sheet name="Watchlists" sheetId="9" r:id="rId5"/>
    <sheet name="Benckmarks and Peer Groups" sheetId="10" r:id="rId6"/>
    <sheet name="Model Portfolios" sheetId="11"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5" i="8" l="1"/>
  <c r="F25" i="8"/>
  <c r="J25" i="8"/>
  <c r="L25" i="8"/>
  <c r="D14" i="7"/>
  <c r="E14" i="7"/>
  <c r="F14" i="7"/>
  <c r="G14" i="7"/>
  <c r="C14" i="7"/>
  <c r="C19" i="7"/>
  <c r="D19" i="7"/>
  <c r="E19" i="7"/>
  <c r="G2" i="5"/>
  <c r="F2" i="7"/>
  <c r="C2" i="7" l="1"/>
  <c r="D2" i="7"/>
  <c r="E2" i="7"/>
  <c r="G2" i="7"/>
  <c r="H29" i="5"/>
  <c r="G29" i="5"/>
  <c r="F29" i="5"/>
  <c r="E29" i="5"/>
  <c r="D29" i="5"/>
  <c r="H27" i="5"/>
  <c r="G27" i="5"/>
  <c r="F27" i="5"/>
  <c r="E27" i="5"/>
  <c r="D27" i="5"/>
  <c r="H22" i="5"/>
  <c r="C17" i="4"/>
  <c r="D17" i="4"/>
  <c r="D29" i="4"/>
  <c r="C29" i="4"/>
  <c r="G22" i="4"/>
  <c r="D21" i="5" l="1"/>
  <c r="F21" i="5"/>
  <c r="E21" i="5"/>
  <c r="F2" i="5"/>
  <c r="H21" i="5"/>
  <c r="G21" i="5"/>
  <c r="H2" i="5"/>
  <c r="E2" i="5"/>
  <c r="D2" i="5"/>
  <c r="E21" i="4"/>
  <c r="C21" i="4"/>
  <c r="G21" i="4"/>
  <c r="D21" i="4"/>
  <c r="F21" i="4"/>
  <c r="C2" i="4"/>
  <c r="D2" i="4"/>
  <c r="E2" i="4"/>
  <c r="G2" i="4"/>
  <c r="F2" i="4"/>
</calcChain>
</file>

<file path=xl/sharedStrings.xml><?xml version="1.0" encoding="utf-8"?>
<sst xmlns="http://schemas.openxmlformats.org/spreadsheetml/2006/main" count="249" uniqueCount="172">
  <si>
    <t>EQUITY WEIGHTINGS</t>
  </si>
  <si>
    <t>US Large Cap</t>
  </si>
  <si>
    <t>SYMBOL</t>
  </si>
  <si>
    <t>US Mid Cap</t>
  </si>
  <si>
    <t>US Small Cap</t>
  </si>
  <si>
    <t>Non-US Developed</t>
  </si>
  <si>
    <t>Non-US Emerging Markets</t>
  </si>
  <si>
    <t>FIXED INCOME WEIGHTINGS</t>
  </si>
  <si>
    <t>Investment Grade Fixed Income</t>
  </si>
  <si>
    <t>Non-Investment Grade Fixed Income</t>
  </si>
  <si>
    <t>Non-US Fixed Income</t>
  </si>
  <si>
    <t>Cash</t>
  </si>
  <si>
    <t>Conservative</t>
  </si>
  <si>
    <t>Conservative Balanced</t>
  </si>
  <si>
    <t>Balanced</t>
  </si>
  <si>
    <t>Balanced w/ Growth</t>
  </si>
  <si>
    <t>Growth</t>
  </si>
  <si>
    <t>Cambria Emerging Shareholder Yield ETF</t>
  </si>
  <si>
    <t>EYLD</t>
  </si>
  <si>
    <t>iShares Total Return Core International Aggregate ETF</t>
  </si>
  <si>
    <t>IAGG</t>
  </si>
  <si>
    <t>VictoryShares Core Intermediate Bond ETF</t>
  </si>
  <si>
    <t>UITB</t>
  </si>
  <si>
    <t>iShares High Yield Systematic Bond ETF</t>
  </si>
  <si>
    <t>HYDB</t>
  </si>
  <si>
    <t xml:space="preserve">WisdomTree Emerging Markets Multifactor Fund </t>
  </si>
  <si>
    <t>EMMF</t>
  </si>
  <si>
    <t>Vanguard 500 Index Fund ETF</t>
  </si>
  <si>
    <t>VOO</t>
  </si>
  <si>
    <t>Invesco S&amp;P Intl Developed Momentum ETF</t>
  </si>
  <si>
    <t>Vanguard Total International Stock Index Fund ETF</t>
  </si>
  <si>
    <t>Fidelity 500 Index Fund</t>
  </si>
  <si>
    <t>FXAIX</t>
  </si>
  <si>
    <t>Vanguard FTSE All-World ex US Index Fund Admiral</t>
  </si>
  <si>
    <t>VFWAX</t>
  </si>
  <si>
    <t>Vanguard Intermediate-Term Bond Fund</t>
  </si>
  <si>
    <t>VBILX</t>
  </si>
  <si>
    <t>PYTRX</t>
  </si>
  <si>
    <t>PIMCO Gl Bd Oppty Fund</t>
  </si>
  <si>
    <t>PGNPX</t>
  </si>
  <si>
    <t>NSMRX</t>
  </si>
  <si>
    <t>Vanguard Small-Cap Index Fund ETF</t>
  </si>
  <si>
    <t>VB</t>
  </si>
  <si>
    <t>Eaton Vance Emerging and Frontier Countries Eq I</t>
  </si>
  <si>
    <t>EICOX</t>
  </si>
  <si>
    <t>FLCSX</t>
  </si>
  <si>
    <t>FIDELITY LARGE CAP STOCK FUND N/L</t>
  </si>
  <si>
    <t>VANGUARD INDEX FUNDS S&amp;P 500 ETF</t>
  </si>
  <si>
    <t>INVESCO LARGE CAP GROWTH ETF</t>
  </si>
  <si>
    <t>PWB</t>
  </si>
  <si>
    <t>INTEGRITY DIVIDEND HARVEST FUND CL I N/L</t>
  </si>
  <si>
    <t>IDHIX</t>
  </si>
  <si>
    <t>AVE MARIA VALUE FOCUSED FUND N/L</t>
  </si>
  <si>
    <t>AVERX</t>
  </si>
  <si>
    <t>FULLERTHALER BEHAVIORAL UNCON EQ FD</t>
  </si>
  <si>
    <t>OBERWEIS SMALL-CAP OPPORS FD</t>
  </si>
  <si>
    <t>NUVEEN SMALL/MID CAP VALUE FUND</t>
  </si>
  <si>
    <t>OBSIX</t>
  </si>
  <si>
    <t>LAZARD INTERNATIONAL DYNAMIC EQUITY ETF</t>
  </si>
  <si>
    <t>AVDE</t>
  </si>
  <si>
    <t>IDEQ</t>
  </si>
  <si>
    <t>BAIRD INTERMEDIATE BOND FUND</t>
  </si>
  <si>
    <t>BIMIX</t>
  </si>
  <si>
    <t>PUTNAM CORE BOND FUND</t>
  </si>
  <si>
    <t>DIMENSIONAL CORE FIXED INCOME</t>
  </si>
  <si>
    <t>DFCF</t>
  </si>
  <si>
    <t>DHRIX</t>
  </si>
  <si>
    <t>DIAMOND HILL CORE BOND FUND</t>
  </si>
  <si>
    <t>FIDELITY CAPITAL &amp; INCOME FUND</t>
  </si>
  <si>
    <t>FAGIX</t>
  </si>
  <si>
    <t xml:space="preserve">	
FTZIX</t>
  </si>
  <si>
    <t>ULVM</t>
  </si>
  <si>
    <t xml:space="preserve">VictoryShares US Value Momentum ETF </t>
  </si>
  <si>
    <t>FIRST TRUST US EQUITY OPPORTUNITIES ETF</t>
  </si>
  <si>
    <t>FPX</t>
  </si>
  <si>
    <t>Invesco S&amp;P SmallCap Momentum ETF</t>
  </si>
  <si>
    <t>XSMO</t>
  </si>
  <si>
    <t>Vanguard Intermediate-Term Bond Index Fund ETF</t>
  </si>
  <si>
    <t>BIV</t>
  </si>
  <si>
    <t>Avantis Core Fixed Income ETF</t>
  </si>
  <si>
    <t>AVIG</t>
  </si>
  <si>
    <t>MFS Blended Research International Equity Fund</t>
  </si>
  <si>
    <t>BRXIX</t>
  </si>
  <si>
    <t>Weight</t>
  </si>
  <si>
    <t>Vanguard US Momentum Factor ETF</t>
  </si>
  <si>
    <t>VFMO</t>
  </si>
  <si>
    <t>FlexShares US Quality Large Cap Index Fund</t>
  </si>
  <si>
    <t>QLC</t>
  </si>
  <si>
    <t>VSMAX</t>
  </si>
  <si>
    <t>VANGUARD SMALL CAP INDEX FUND</t>
  </si>
  <si>
    <t>VANGUARD MID CAP INDEX FUND</t>
  </si>
  <si>
    <t>VIMAX</t>
  </si>
  <si>
    <t>High-Yield Corporate Fund Admiral Shares</t>
  </si>
  <si>
    <t>VWEAX</t>
  </si>
  <si>
    <t>VEMAX</t>
  </si>
  <si>
    <t>Emerging Markets Stock Index Fund Admiral Shares</t>
  </si>
  <si>
    <t>Total International Bond Index Fund Admiral Shares</t>
  </si>
  <si>
    <t>VTABX</t>
  </si>
  <si>
    <t>FIXED INCOME &amp; CASH WEIGHTS</t>
  </si>
  <si>
    <t>Fixed Income</t>
  </si>
  <si>
    <t>Total Return</t>
  </si>
  <si>
    <t>Standard Deviation</t>
  </si>
  <si>
    <t>Sharpe Ratio</t>
  </si>
  <si>
    <t>Expense Ratio</t>
  </si>
  <si>
    <t>30-day SEC yield</t>
  </si>
  <si>
    <t>Yield to maturity</t>
  </si>
  <si>
    <t>Average credit quality</t>
  </si>
  <si>
    <t>Effective duration</t>
  </si>
  <si>
    <t>Effective maturity</t>
  </si>
  <si>
    <t>Sharpe ratio (5Y)</t>
  </si>
  <si>
    <t>Sortino ratio (5Y)</t>
  </si>
  <si>
    <t>Max drawdown (5Y)</t>
  </si>
  <si>
    <t>Standard deviation (5Y)</t>
  </si>
  <si>
    <t>Alpha (5Y)</t>
  </si>
  <si>
    <t>Net expense ratio</t>
  </si>
  <si>
    <t>Tax cost ratio</t>
  </si>
  <si>
    <t>Manager tenure</t>
  </si>
  <si>
    <t>Tracking error</t>
  </si>
  <si>
    <t>Information ratio (5Y)</t>
  </si>
  <si>
    <t>Beta (5Y)</t>
  </si>
  <si>
    <t>Tax cost ratio (5Y)</t>
  </si>
  <si>
    <t>Turnover ratio</t>
  </si>
  <si>
    <t>Discount / premium to NAV</t>
  </si>
  <si>
    <t>Equity</t>
  </si>
  <si>
    <t>Inclusion Criteria</t>
  </si>
  <si>
    <t>Monitoring Criteria</t>
  </si>
  <si>
    <t>Core Growth</t>
  </si>
  <si>
    <t>ROIC</t>
  </si>
  <si>
    <t>Gross Profit (TTM)</t>
  </si>
  <si>
    <t>Revenue Growth 3Y</t>
  </si>
  <si>
    <t>EPS Growth Estimate</t>
  </si>
  <si>
    <t>Free Cashflow Margin (TTM)</t>
  </si>
  <si>
    <t>Gross Profit Margin</t>
  </si>
  <si>
    <t>PEG Forward 1y</t>
  </si>
  <si>
    <t>PE Ratio Forward</t>
  </si>
  <si>
    <t>Standard Deviation 3y</t>
  </si>
  <si>
    <t>Equity Income</t>
  </si>
  <si>
    <t>Div Growth</t>
  </si>
  <si>
    <t>Times Interest Earned (TTM)</t>
  </si>
  <si>
    <t>Free Cashflow % of Revenue</t>
  </si>
  <si>
    <t>Beta 5y</t>
  </si>
  <si>
    <t>consensus Reccomendation</t>
  </si>
  <si>
    <t>FCF ROIC 3y</t>
  </si>
  <si>
    <t>Revenue Growth 5y</t>
  </si>
  <si>
    <t>FCF Growth 5y</t>
  </si>
  <si>
    <t>Free Cash Flow Yield</t>
  </si>
  <si>
    <t>ROIC 3y</t>
  </si>
  <si>
    <t>Revenue Growth 1Y</t>
  </si>
  <si>
    <t>eps_growth_3y</t>
  </si>
  <si>
    <t>Description</t>
  </si>
  <si>
    <t>Account Purpose</t>
  </si>
  <si>
    <t>Risk Tolerance</t>
  </si>
  <si>
    <t>Allocation</t>
  </si>
  <si>
    <t>Balanced with Growth</t>
  </si>
  <si>
    <t>Equity Income &amp; Core Growth</t>
  </si>
  <si>
    <t>Fixed Income Total Return</t>
  </si>
  <si>
    <t>Treasuries</t>
  </si>
  <si>
    <t>Designed to provide long-term capital appreciation with strong growth potential, this portfolio strives to maximize total return potential with primary exposure to domestic equity investments and the ability to take advantage of opportunities in international markets. Invested primarily in equities with little exposure to fixed-income type investments, this diversified portfolio may be appropriate for those investors who can accept a moderate to high level of volatility over a full market cycle.</t>
  </si>
  <si>
    <t>Aggressive Growth</t>
  </si>
  <si>
    <t>Aggressive</t>
  </si>
  <si>
    <t>Moderately High</t>
  </si>
  <si>
    <t>Growth with Income</t>
  </si>
  <si>
    <t>Moderate</t>
  </si>
  <si>
    <t>Income with Moderate Growth</t>
  </si>
  <si>
    <t>Moderately Low</t>
  </si>
  <si>
    <t>Low</t>
  </si>
  <si>
    <t>Income with Capital Preservation</t>
  </si>
  <si>
    <t>return potential, the portfolio includes fixed income exposure to help provide some capital preservation and income. This diversified</t>
  </si>
  <si>
    <t>Designed to provide long-term capital appreciation with strong growth potential, this portfolio is invested primarily in equities with limited exposure to fixed income. Although the core investments are equity based for higher total return potential, the portfolio includes fixed income exposure to help provide some capital preservation and income. This diversified portfolio may be appropriate for those investors who can accept a moderate level of volatility over a full market cycle.</t>
  </si>
  <si>
    <t>Designed to provide long-term capital appreciation with strong growth potential, this portfolio is invested primarily in equities with meaningful exposure to fixed-income type investments. In  addition to equity-based investments for higher total return potential, the portfolio includes fixed income exposure to help provide capital preservation over the long term and current income. This diversified portfolio may be appropriate for those investors who can accept a moderate level of volatility over a full market cycle.</t>
  </si>
  <si>
    <t xml:space="preserve">Designed to provide moderate growth potential, this portfolio seeks the highest total return over time consistent with a balance between capital growth and income. With a targeted equally weighted portfolio between equities and fixed-income type investments, this diversified portfolio may be appropriate for those investors who want to manage volatility and are sensitive to market fluctuations. </t>
  </si>
  <si>
    <t>Designed to provide conservative growth potential, this portfolio seeks to provide some capital appreciation potential and current income with a focus on lower volatility. Invested mostly in fixed-income type investments with limited exposure to equities, this diversified portfolio may be appropriate for those investors who want to manage volatility and are sensitive to market fluctuations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</si>
</sst>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00"/>
    <numFmt numFmtId="165" formatCode="_(* #,##0.0000_);_(* \(#,##0.0000\);_(* &quot;-&quot;??_);_(@_)"/>
  </numFmts>
  <fonts count="11" x14ac:knownFonts="1">
    <font>
      <sz val="12"/>
      <color theme="1"/>
      <name val="Aptos Narrow"/>
      <family val="2"/>
      <scheme val="minor"/>
    </font>
    <font>
      <sz val="12"/>
      <color theme="1"/>
      <name val="Aptos Narrow"/>
      <family val="2"/>
      <scheme val="minor"/>
    </font>
    <font>
      <sz val="8"/>
      <color theme="1"/>
      <name val="Times New Roman"/>
      <family val="1"/>
    </font>
    <font>
      <sz val="8"/>
      <name val="Times New Roman"/>
      <family val="1"/>
    </font>
    <font>
      <b/>
      <sz val="10"/>
      <color theme="1"/>
      <name val="Times New Roman"/>
      <family val="1"/>
    </font>
    <font>
      <b/>
      <sz val="10"/>
      <name val="Times New Roman"/>
      <family val="1"/>
    </font>
    <font>
      <b/>
      <sz val="12"/>
      <color theme="0"/>
      <name val="Times New Roman"/>
      <family val="1"/>
    </font>
    <font>
      <sz val="12"/>
      <color theme="1"/>
      <name val="Times New Roman"/>
      <family val="1"/>
    </font>
    <font>
      <sz val="12"/>
      <color theme="1"/>
      <name val="Aptos Narrow"/>
      <scheme val="minor"/>
    </font>
    <font>
      <sz val="12"/>
      <color rgb="FF000000"/>
      <name val="Aptos Narrow"/>
      <scheme val="minor"/>
    </font>
    <font>
      <sz val="12"/>
      <color theme="1"/>
      <name val="Arial"/>
      <family val="2"/>
    </font>
  </fonts>
  <fills count="7">
    <fill>
      <patternFill patternType="none"/>
    </fill>
    <fill>
      <patternFill patternType="gray125"/>
    </fill>
    <fill>
      <patternFill patternType="solid">
        <fgColor theme="3" tint="9.9978637043366805E-2"/>
        <bgColor indexed="64"/>
      </patternFill>
    </fill>
    <fill>
      <patternFill patternType="solid">
        <fgColor theme="9"/>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rgb="FFFFFF0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87">
    <xf numFmtId="0" fontId="0" fillId="0" borderId="0" xfId="0"/>
    <xf numFmtId="0" fontId="2" fillId="0" borderId="0" xfId="0" applyFont="1"/>
    <xf numFmtId="0" fontId="2" fillId="0" borderId="7" xfId="0" applyFont="1" applyBorder="1" applyAlignment="1">
      <alignment horizontal="left" vertical="center"/>
    </xf>
    <xf numFmtId="0" fontId="2" fillId="0" borderId="1" xfId="0" applyFont="1" applyBorder="1" applyAlignment="1">
      <alignment horizontal="center" vertical="center"/>
    </xf>
    <xf numFmtId="10" fontId="2" fillId="0" borderId="1" xfId="1" applyNumberFormat="1" applyFont="1" applyBorder="1" applyAlignment="1">
      <alignment horizontal="center" vertical="center"/>
    </xf>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0" fontId="7" fillId="0" borderId="0" xfId="0" applyFont="1"/>
    <xf numFmtId="0" fontId="6" fillId="3" borderId="2" xfId="0" applyFont="1" applyFill="1" applyBorder="1" applyAlignment="1">
      <alignment horizontal="center" vertical="center"/>
    </xf>
    <xf numFmtId="0" fontId="7" fillId="0" borderId="0" xfId="0" applyFont="1" applyAlignment="1">
      <alignment vertical="center"/>
    </xf>
    <xf numFmtId="9" fontId="6" fillId="3" borderId="3" xfId="0" applyNumberFormat="1" applyFont="1" applyFill="1" applyBorder="1" applyAlignment="1">
      <alignment horizontal="center" vertical="center"/>
    </xf>
    <xf numFmtId="10" fontId="4" fillId="4" borderId="1" xfId="0" applyNumberFormat="1" applyFont="1" applyFill="1" applyBorder="1" applyAlignment="1">
      <alignment horizontal="center" vertical="center"/>
    </xf>
    <xf numFmtId="10" fontId="5" fillId="4" borderId="1" xfId="0" applyNumberFormat="1" applyFont="1" applyFill="1" applyBorder="1" applyAlignment="1">
      <alignment horizontal="center" vertical="center"/>
    </xf>
    <xf numFmtId="9" fontId="6" fillId="2" borderId="3" xfId="0" applyNumberFormat="1" applyFont="1" applyFill="1" applyBorder="1" applyAlignment="1">
      <alignment horizontal="center" vertical="center"/>
    </xf>
    <xf numFmtId="10" fontId="2" fillId="0" borderId="8" xfId="1" applyNumberFormat="1" applyFont="1" applyBorder="1" applyAlignment="1">
      <alignment horizontal="center" vertical="center"/>
    </xf>
    <xf numFmtId="10" fontId="2" fillId="0" borderId="3" xfId="1" applyNumberFormat="1" applyFont="1" applyBorder="1" applyAlignment="1">
      <alignment horizontal="center" vertical="center"/>
    </xf>
    <xf numFmtId="10" fontId="2" fillId="0" borderId="9" xfId="1" applyNumberFormat="1" applyFont="1" applyBorder="1" applyAlignment="1">
      <alignment horizontal="center" vertical="center"/>
    </xf>
    <xf numFmtId="0" fontId="2" fillId="0" borderId="4" xfId="0" applyFont="1" applyBorder="1" applyAlignment="1">
      <alignment horizontal="center" vertical="center"/>
    </xf>
    <xf numFmtId="10" fontId="2" fillId="0" borderId="2" xfId="1" applyNumberFormat="1" applyFont="1" applyBorder="1" applyAlignment="1">
      <alignment horizontal="center" vertical="center"/>
    </xf>
    <xf numFmtId="0" fontId="6" fillId="2" borderId="12" xfId="0" applyFont="1" applyFill="1" applyBorder="1" applyAlignment="1">
      <alignment horizontal="center" vertical="center"/>
    </xf>
    <xf numFmtId="0" fontId="6" fillId="2" borderId="13" xfId="0" applyFont="1" applyFill="1" applyBorder="1" applyAlignment="1">
      <alignment horizontal="center" vertical="center"/>
    </xf>
    <xf numFmtId="9" fontId="6" fillId="2" borderId="9" xfId="0" applyNumberFormat="1" applyFont="1" applyFill="1" applyBorder="1" applyAlignment="1">
      <alignment horizontal="center" vertical="center"/>
    </xf>
    <xf numFmtId="10" fontId="4" fillId="4" borderId="8" xfId="0" applyNumberFormat="1" applyFont="1" applyFill="1" applyBorder="1" applyAlignment="1">
      <alignment horizontal="center" vertical="center"/>
    </xf>
    <xf numFmtId="10" fontId="2" fillId="0" borderId="14" xfId="1" applyNumberFormat="1" applyFont="1" applyBorder="1" applyAlignment="1">
      <alignment horizontal="center" vertical="center"/>
    </xf>
    <xf numFmtId="0" fontId="6" fillId="3" borderId="14" xfId="0" applyFont="1" applyFill="1" applyBorder="1" applyAlignment="1">
      <alignment horizontal="center" vertical="center"/>
    </xf>
    <xf numFmtId="10" fontId="5" fillId="4" borderId="8" xfId="0" applyNumberFormat="1" applyFont="1" applyFill="1" applyBorder="1" applyAlignment="1">
      <alignment horizontal="center" vertical="center"/>
    </xf>
    <xf numFmtId="10" fontId="4" fillId="5" borderId="16" xfId="0" applyNumberFormat="1" applyFont="1" applyFill="1" applyBorder="1" applyAlignment="1">
      <alignment horizontal="center" vertical="center"/>
    </xf>
    <xf numFmtId="10" fontId="4" fillId="5" borderId="17" xfId="0" applyNumberFormat="1" applyFont="1" applyFill="1" applyBorder="1" applyAlignment="1">
      <alignment horizontal="center" vertical="center"/>
    </xf>
    <xf numFmtId="10" fontId="2" fillId="0" borderId="1" xfId="0" applyNumberFormat="1" applyFont="1" applyBorder="1" applyAlignment="1">
      <alignment horizontal="center" vertical="center"/>
    </xf>
    <xf numFmtId="10" fontId="2" fillId="0" borderId="8" xfId="0" applyNumberFormat="1" applyFont="1" applyBorder="1" applyAlignment="1">
      <alignment horizontal="center" vertical="center"/>
    </xf>
    <xf numFmtId="0" fontId="2" fillId="0" borderId="0" xfId="0" applyFont="1" applyAlignment="1">
      <alignment horizontal="center" vertical="center"/>
    </xf>
    <xf numFmtId="10" fontId="6" fillId="2" borderId="3" xfId="0" applyNumberFormat="1" applyFont="1" applyFill="1" applyBorder="1" applyAlignment="1">
      <alignment horizontal="center" vertical="center"/>
    </xf>
    <xf numFmtId="10" fontId="6" fillId="2" borderId="9" xfId="0" applyNumberFormat="1" applyFont="1" applyFill="1" applyBorder="1" applyAlignment="1">
      <alignment horizontal="center" vertical="center"/>
    </xf>
    <xf numFmtId="10" fontId="6" fillId="3" borderId="3" xfId="0" applyNumberFormat="1" applyFont="1" applyFill="1" applyBorder="1" applyAlignment="1">
      <alignment horizontal="center" vertical="center"/>
    </xf>
    <xf numFmtId="10" fontId="6" fillId="3" borderId="9" xfId="0" applyNumberFormat="1" applyFont="1" applyFill="1" applyBorder="1" applyAlignment="1">
      <alignment horizontal="center" vertical="center"/>
    </xf>
    <xf numFmtId="164" fontId="7" fillId="0" borderId="0" xfId="0" applyNumberFormat="1" applyFont="1"/>
    <xf numFmtId="164" fontId="2" fillId="0" borderId="0" xfId="0" applyNumberFormat="1" applyFont="1" applyAlignment="1">
      <alignment vertical="center"/>
    </xf>
    <xf numFmtId="43" fontId="2" fillId="0" borderId="0" xfId="2" applyFont="1" applyAlignment="1">
      <alignment vertical="center"/>
    </xf>
    <xf numFmtId="165" fontId="7" fillId="0" borderId="0" xfId="2" applyNumberFormat="1" applyFont="1"/>
    <xf numFmtId="165" fontId="4" fillId="0" borderId="0" xfId="2" applyNumberFormat="1" applyFont="1" applyAlignment="1">
      <alignment vertical="center"/>
    </xf>
    <xf numFmtId="165" fontId="2" fillId="0" borderId="0" xfId="2" applyNumberFormat="1" applyFont="1" applyAlignment="1">
      <alignment vertical="center"/>
    </xf>
    <xf numFmtId="165" fontId="7" fillId="0" borderId="0" xfId="2" applyNumberFormat="1" applyFont="1" applyAlignment="1">
      <alignment vertical="center"/>
    </xf>
    <xf numFmtId="165" fontId="2" fillId="0" borderId="0" xfId="2" applyNumberFormat="1" applyFont="1"/>
    <xf numFmtId="10" fontId="6" fillId="2" borderId="18" xfId="1" applyNumberFormat="1" applyFont="1" applyFill="1" applyBorder="1" applyAlignment="1">
      <alignment horizontal="center" vertical="center"/>
    </xf>
    <xf numFmtId="10" fontId="6" fillId="2" borderId="5" xfId="1" applyNumberFormat="1" applyFont="1" applyFill="1" applyBorder="1" applyAlignment="1">
      <alignment horizontal="center" vertical="center"/>
    </xf>
    <xf numFmtId="10" fontId="4" fillId="4" borderId="1" xfId="1" applyNumberFormat="1" applyFont="1" applyFill="1" applyBorder="1" applyAlignment="1">
      <alignment horizontal="left" vertical="center"/>
    </xf>
    <xf numFmtId="10" fontId="4" fillId="4" borderId="6" xfId="1" applyNumberFormat="1" applyFont="1" applyFill="1" applyBorder="1" applyAlignment="1">
      <alignment horizontal="left" vertical="center"/>
    </xf>
    <xf numFmtId="10" fontId="2" fillId="0" borderId="4" xfId="1" applyNumberFormat="1" applyFont="1" applyBorder="1" applyAlignment="1">
      <alignment horizontal="center" vertical="center"/>
    </xf>
    <xf numFmtId="10" fontId="6" fillId="3" borderId="4" xfId="1" applyNumberFormat="1" applyFont="1" applyFill="1" applyBorder="1" applyAlignment="1">
      <alignment horizontal="center" vertical="center"/>
    </xf>
    <xf numFmtId="10" fontId="6" fillId="3" borderId="5" xfId="1" applyNumberFormat="1" applyFont="1" applyFill="1" applyBorder="1" applyAlignment="1">
      <alignment horizontal="center" vertical="center"/>
    </xf>
    <xf numFmtId="10" fontId="5" fillId="4" borderId="1" xfId="1" applyNumberFormat="1" applyFont="1" applyFill="1" applyBorder="1" applyAlignment="1">
      <alignment horizontal="left" vertical="center"/>
    </xf>
    <xf numFmtId="10" fontId="4" fillId="5" borderId="16" xfId="1" applyNumberFormat="1" applyFont="1" applyFill="1" applyBorder="1" applyAlignment="1">
      <alignment horizontal="left" vertical="center"/>
    </xf>
    <xf numFmtId="10" fontId="2" fillId="0" borderId="0" xfId="1" applyNumberFormat="1" applyFont="1"/>
    <xf numFmtId="10" fontId="4" fillId="4" borderId="1" xfId="1" applyNumberFormat="1" applyFont="1" applyFill="1" applyBorder="1" applyAlignment="1">
      <alignment horizontal="center" vertical="center"/>
    </xf>
    <xf numFmtId="0" fontId="0" fillId="0" borderId="0" xfId="0" applyAlignment="1">
      <alignment horizontal="center"/>
    </xf>
    <xf numFmtId="0" fontId="8" fillId="0" borderId="0" xfId="0" applyFont="1"/>
    <xf numFmtId="0" fontId="8" fillId="0" borderId="0" xfId="0" applyFont="1" applyAlignment="1">
      <alignment horizontal="center"/>
    </xf>
    <xf numFmtId="0" fontId="9" fillId="0" borderId="0" xfId="0" applyFont="1"/>
    <xf numFmtId="9" fontId="9" fillId="0" borderId="0" xfId="1" applyFont="1" applyAlignment="1">
      <alignment horizontal="center"/>
    </xf>
    <xf numFmtId="9" fontId="8" fillId="0" borderId="0" xfId="1" applyFont="1" applyAlignment="1">
      <alignment horizontal="center"/>
    </xf>
    <xf numFmtId="9" fontId="8" fillId="0" borderId="0" xfId="0" applyNumberFormat="1" applyFont="1" applyAlignment="1">
      <alignment horizontal="center"/>
    </xf>
    <xf numFmtId="0" fontId="8" fillId="0" borderId="0" xfId="0" applyFont="1" applyAlignment="1">
      <alignment horizontal="left"/>
    </xf>
    <xf numFmtId="0" fontId="0" fillId="0" borderId="0" xfId="0" applyAlignment="1">
      <alignment horizontal="left"/>
    </xf>
    <xf numFmtId="0" fontId="8" fillId="3" borderId="0" xfId="0" applyFont="1" applyFill="1" applyAlignment="1">
      <alignment horizontal="left"/>
    </xf>
    <xf numFmtId="9" fontId="8" fillId="3" borderId="0" xfId="1" applyFont="1" applyFill="1" applyAlignment="1">
      <alignment horizontal="center"/>
    </xf>
    <xf numFmtId="9" fontId="8" fillId="0" borderId="0" xfId="1" applyFont="1" applyFill="1" applyAlignment="1">
      <alignment horizontal="center"/>
    </xf>
    <xf numFmtId="0" fontId="10" fillId="3" borderId="0" xfId="0" applyFont="1" applyFill="1"/>
    <xf numFmtId="0" fontId="8" fillId="0" borderId="0" xfId="0" applyFont="1" applyAlignment="1">
      <alignment horizontal="center"/>
    </xf>
    <xf numFmtId="0" fontId="8" fillId="6" borderId="0" xfId="0" applyFont="1" applyFill="1" applyAlignment="1">
      <alignment horizontal="center"/>
    </xf>
    <xf numFmtId="0" fontId="4" fillId="4" borderId="7" xfId="0" applyFont="1" applyFill="1" applyBorder="1" applyAlignment="1">
      <alignment horizontal="left" vertical="center"/>
    </xf>
    <xf numFmtId="0" fontId="4" fillId="4" borderId="1" xfId="0" applyFont="1" applyFill="1" applyBorder="1" applyAlignment="1">
      <alignment horizontal="left" vertical="center"/>
    </xf>
    <xf numFmtId="0" fontId="6" fillId="2" borderId="10"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6" fillId="2" borderId="6" xfId="0" applyFont="1" applyFill="1" applyBorder="1" applyAlignment="1">
      <alignment horizontal="center" vertical="center"/>
    </xf>
    <xf numFmtId="0" fontId="4" fillId="5" borderId="15" xfId="0" applyFont="1" applyFill="1" applyBorder="1" applyAlignment="1">
      <alignment horizontal="left" vertical="center"/>
    </xf>
    <xf numFmtId="0" fontId="4" fillId="5" borderId="16" xfId="0" applyFont="1" applyFill="1" applyBorder="1" applyAlignment="1">
      <alignment horizontal="left" vertical="center"/>
    </xf>
    <xf numFmtId="0" fontId="6" fillId="3" borderId="7" xfId="0" applyFont="1" applyFill="1" applyBorder="1" applyAlignment="1">
      <alignment horizontal="center" vertical="center"/>
    </xf>
    <xf numFmtId="0" fontId="6" fillId="3" borderId="4" xfId="0" applyFont="1" applyFill="1" applyBorder="1" applyAlignment="1">
      <alignment horizontal="center" vertical="center"/>
    </xf>
    <xf numFmtId="0" fontId="6" fillId="3" borderId="5" xfId="0" applyFont="1" applyFill="1" applyBorder="1" applyAlignment="1">
      <alignment horizontal="center" vertical="center"/>
    </xf>
    <xf numFmtId="0" fontId="5" fillId="4" borderId="7" xfId="0" applyFont="1" applyFill="1" applyBorder="1" applyAlignment="1">
      <alignment horizontal="left" vertical="center"/>
    </xf>
    <xf numFmtId="0" fontId="5" fillId="4" borderId="1" xfId="0" applyFont="1" applyFill="1" applyBorder="1" applyAlignment="1">
      <alignment horizontal="left" vertical="center"/>
    </xf>
    <xf numFmtId="0" fontId="4" fillId="4" borderId="19" xfId="0" applyFont="1" applyFill="1" applyBorder="1" applyAlignment="1">
      <alignment horizontal="left" vertical="center"/>
    </xf>
    <xf numFmtId="0" fontId="4" fillId="4" borderId="20" xfId="0" applyFont="1" applyFill="1" applyBorder="1" applyAlignment="1">
      <alignment horizontal="left" vertical="center"/>
    </xf>
    <xf numFmtId="0" fontId="0" fillId="0" borderId="0" xfId="0" applyAlignment="1">
      <alignment horizontal="center" vertical="center"/>
    </xf>
    <xf numFmtId="0" fontId="0" fillId="0" borderId="0" xfId="0" applyAlignment="1">
      <alignment horizontal="center" vertical="center" wrapText="1"/>
    </xf>
  </cellXfs>
  <cellStyles count="3">
    <cellStyle name="Comma" xfId="2" builtinId="3"/>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99ECD-DF75-8E40-BDC1-3E06F47B272F}">
  <dimension ref="A1:J31"/>
  <sheetViews>
    <sheetView zoomScale="161" workbookViewId="0">
      <selection activeCell="L20" sqref="L20"/>
    </sheetView>
  </sheetViews>
  <sheetFormatPr baseColWidth="10" defaultRowHeight="11" x14ac:dyDescent="0.15"/>
  <cols>
    <col min="1" max="1" width="32.6640625" style="1" customWidth="1"/>
    <col min="2" max="7" width="21.6640625" style="1" customWidth="1"/>
    <col min="8" max="16384" width="10.83203125" style="1"/>
  </cols>
  <sheetData>
    <row r="1" spans="1:7" s="8" customFormat="1" ht="20" customHeight="1" x14ac:dyDescent="0.2">
      <c r="A1" s="72" t="s">
        <v>0</v>
      </c>
      <c r="B1" s="74" t="s">
        <v>2</v>
      </c>
      <c r="C1" s="20" t="s">
        <v>12</v>
      </c>
      <c r="D1" s="20" t="s">
        <v>13</v>
      </c>
      <c r="E1" s="20" t="s">
        <v>14</v>
      </c>
      <c r="F1" s="20" t="s">
        <v>15</v>
      </c>
      <c r="G1" s="21" t="s">
        <v>16</v>
      </c>
    </row>
    <row r="2" spans="1:7" s="8" customFormat="1" ht="20" customHeight="1" x14ac:dyDescent="0.2">
      <c r="A2" s="73"/>
      <c r="B2" s="75"/>
      <c r="C2" s="32">
        <f>C3+C8+C11+C14+C17</f>
        <v>0.31</v>
      </c>
      <c r="D2" s="32">
        <f>D3+D8+D11+D14+D17</f>
        <v>0.49</v>
      </c>
      <c r="E2" s="32">
        <f>E3+E8+E11+E14+E17</f>
        <v>0.66</v>
      </c>
      <c r="F2" s="32">
        <f>F3+F8+F11+F14+F17</f>
        <v>0.81</v>
      </c>
      <c r="G2" s="33">
        <f>G3+G8+G11+G14+G17</f>
        <v>0.9900000000000001</v>
      </c>
    </row>
    <row r="3" spans="1:7" s="7" customFormat="1" ht="16" customHeight="1" x14ac:dyDescent="0.2">
      <c r="A3" s="70" t="s">
        <v>1</v>
      </c>
      <c r="B3" s="71"/>
      <c r="C3" s="12">
        <v>0.22</v>
      </c>
      <c r="D3" s="12">
        <v>0.3</v>
      </c>
      <c r="E3" s="12">
        <v>0.41</v>
      </c>
      <c r="F3" s="12">
        <v>0.52</v>
      </c>
      <c r="G3" s="23">
        <v>0.64</v>
      </c>
    </row>
    <row r="4" spans="1:7" s="5" customFormat="1" ht="16" customHeight="1" x14ac:dyDescent="0.2">
      <c r="A4" s="2" t="s">
        <v>27</v>
      </c>
      <c r="B4" s="3" t="s">
        <v>28</v>
      </c>
      <c r="C4" s="4">
        <v>0.11</v>
      </c>
      <c r="D4" s="4">
        <v>0.1</v>
      </c>
      <c r="E4" s="4">
        <v>0.13500000000000001</v>
      </c>
      <c r="F4" s="4">
        <v>0.17</v>
      </c>
      <c r="G4" s="15">
        <v>0.21</v>
      </c>
    </row>
    <row r="5" spans="1:7" s="5" customFormat="1" ht="16" customHeight="1" x14ac:dyDescent="0.2">
      <c r="A5" s="2" t="s">
        <v>86</v>
      </c>
      <c r="B5" s="3" t="s">
        <v>87</v>
      </c>
      <c r="C5" s="4">
        <v>0.11</v>
      </c>
      <c r="D5" s="4">
        <v>0.1</v>
      </c>
      <c r="E5" s="4">
        <v>0.13500000000000001</v>
      </c>
      <c r="F5" s="4">
        <v>0.17</v>
      </c>
      <c r="G5" s="15">
        <v>0.21</v>
      </c>
    </row>
    <row r="6" spans="1:7" s="5" customFormat="1" ht="16" customHeight="1" x14ac:dyDescent="0.2">
      <c r="A6" s="2" t="s">
        <v>48</v>
      </c>
      <c r="B6" s="3" t="s">
        <v>49</v>
      </c>
      <c r="C6" s="4"/>
      <c r="D6" s="4">
        <v>0.05</v>
      </c>
      <c r="E6" s="4">
        <v>7.0000000000000007E-2</v>
      </c>
      <c r="F6" s="4">
        <v>0.09</v>
      </c>
      <c r="G6" s="15">
        <v>0.11</v>
      </c>
    </row>
    <row r="7" spans="1:7" s="5" customFormat="1" ht="16" customHeight="1" x14ac:dyDescent="0.2">
      <c r="A7" s="2" t="s">
        <v>72</v>
      </c>
      <c r="B7" s="3" t="s">
        <v>71</v>
      </c>
      <c r="C7" s="4"/>
      <c r="D7" s="4">
        <v>0.05</v>
      </c>
      <c r="E7" s="4">
        <v>7.0000000000000007E-2</v>
      </c>
      <c r="F7" s="4">
        <v>0.09</v>
      </c>
      <c r="G7" s="15">
        <v>0.11</v>
      </c>
    </row>
    <row r="8" spans="1:7" s="7" customFormat="1" ht="16" customHeight="1" x14ac:dyDescent="0.2">
      <c r="A8" s="70" t="s">
        <v>3</v>
      </c>
      <c r="B8" s="71"/>
      <c r="C8" s="12">
        <v>0.04</v>
      </c>
      <c r="D8" s="12">
        <v>0.06</v>
      </c>
      <c r="E8" s="12">
        <v>0.08</v>
      </c>
      <c r="F8" s="12">
        <v>0.1</v>
      </c>
      <c r="G8" s="23">
        <v>0.12</v>
      </c>
    </row>
    <row r="9" spans="1:7" s="5" customFormat="1" ht="16" customHeight="1" x14ac:dyDescent="0.2">
      <c r="A9" s="2" t="s">
        <v>73</v>
      </c>
      <c r="B9" s="3" t="s">
        <v>74</v>
      </c>
      <c r="C9" s="4">
        <v>0.02</v>
      </c>
      <c r="D9" s="4">
        <v>0.03</v>
      </c>
      <c r="E9" s="4">
        <v>0.04</v>
      </c>
      <c r="F9" s="4">
        <v>0.05</v>
      </c>
      <c r="G9" s="15">
        <v>0.06</v>
      </c>
    </row>
    <row r="10" spans="1:7" s="5" customFormat="1" ht="16" customHeight="1" x14ac:dyDescent="0.2">
      <c r="A10" s="2" t="s">
        <v>84</v>
      </c>
      <c r="B10" s="3" t="s">
        <v>85</v>
      </c>
      <c r="C10" s="4">
        <v>0.02</v>
      </c>
      <c r="D10" s="4">
        <v>0.03</v>
      </c>
      <c r="E10" s="4">
        <v>0.04</v>
      </c>
      <c r="F10" s="4">
        <v>0.05</v>
      </c>
      <c r="G10" s="15">
        <v>0.06</v>
      </c>
    </row>
    <row r="11" spans="1:7" s="7" customFormat="1" ht="16" customHeight="1" x14ac:dyDescent="0.2">
      <c r="A11" s="70" t="s">
        <v>4</v>
      </c>
      <c r="B11" s="71"/>
      <c r="C11" s="12">
        <v>0</v>
      </c>
      <c r="D11" s="12">
        <v>0.02</v>
      </c>
      <c r="E11" s="12">
        <v>0.04</v>
      </c>
      <c r="F11" s="12">
        <v>0.05</v>
      </c>
      <c r="G11" s="23">
        <v>0.06</v>
      </c>
    </row>
    <row r="12" spans="1:7" s="5" customFormat="1" ht="16" customHeight="1" x14ac:dyDescent="0.2">
      <c r="A12" s="2" t="s">
        <v>41</v>
      </c>
      <c r="B12" s="3" t="s">
        <v>42</v>
      </c>
      <c r="C12" s="4"/>
      <c r="D12" s="4">
        <v>0.01</v>
      </c>
      <c r="E12" s="4">
        <v>0.02</v>
      </c>
      <c r="F12" s="4">
        <v>2.5000000000000001E-2</v>
      </c>
      <c r="G12" s="15">
        <v>0.03</v>
      </c>
    </row>
    <row r="13" spans="1:7" s="5" customFormat="1" ht="16" customHeight="1" x14ac:dyDescent="0.2">
      <c r="A13" s="2" t="s">
        <v>75</v>
      </c>
      <c r="B13" s="3" t="s">
        <v>76</v>
      </c>
      <c r="C13" s="4"/>
      <c r="D13" s="4">
        <v>0.01</v>
      </c>
      <c r="E13" s="4">
        <v>0.02</v>
      </c>
      <c r="F13" s="4">
        <v>2.5000000000000001E-2</v>
      </c>
      <c r="G13" s="15">
        <v>0.03</v>
      </c>
    </row>
    <row r="14" spans="1:7" s="7" customFormat="1" ht="16" customHeight="1" x14ac:dyDescent="0.2">
      <c r="A14" s="70" t="s">
        <v>5</v>
      </c>
      <c r="B14" s="71"/>
      <c r="C14" s="12">
        <v>0.05</v>
      </c>
      <c r="D14" s="12">
        <v>0.11</v>
      </c>
      <c r="E14" s="12">
        <v>0.09</v>
      </c>
      <c r="F14" s="12">
        <v>0.1</v>
      </c>
      <c r="G14" s="12">
        <v>0.12</v>
      </c>
    </row>
    <row r="15" spans="1:7" s="31" customFormat="1" ht="16" customHeight="1" x14ac:dyDescent="0.2">
      <c r="A15" s="2" t="s">
        <v>30</v>
      </c>
      <c r="B15" s="3" t="s">
        <v>59</v>
      </c>
      <c r="C15" s="29">
        <v>2.5000000000000001E-2</v>
      </c>
      <c r="D15" s="29">
        <v>5.5E-2</v>
      </c>
      <c r="E15" s="29">
        <v>4.4999999999999998E-2</v>
      </c>
      <c r="F15" s="29">
        <v>0.05</v>
      </c>
      <c r="G15" s="30">
        <v>0.06</v>
      </c>
    </row>
    <row r="16" spans="1:7" s="5" customFormat="1" ht="16" customHeight="1" x14ac:dyDescent="0.2">
      <c r="A16" s="2" t="s">
        <v>29</v>
      </c>
      <c r="B16" s="3" t="s">
        <v>60</v>
      </c>
      <c r="C16" s="4">
        <v>2.5000000000000001E-2</v>
      </c>
      <c r="D16" s="4">
        <v>5.5E-2</v>
      </c>
      <c r="E16" s="4">
        <v>4.4999999999999998E-2</v>
      </c>
      <c r="F16" s="4">
        <v>0.05</v>
      </c>
      <c r="G16" s="15">
        <v>0.06</v>
      </c>
    </row>
    <row r="17" spans="1:10" s="7" customFormat="1" ht="16" customHeight="1" x14ac:dyDescent="0.2">
      <c r="A17" s="70" t="s">
        <v>6</v>
      </c>
      <c r="B17" s="71"/>
      <c r="C17" s="23">
        <f t="shared" ref="C17:D17" si="0">SUM(C18:C19)</f>
        <v>0</v>
      </c>
      <c r="D17" s="23">
        <f t="shared" si="0"/>
        <v>0</v>
      </c>
      <c r="E17" s="23">
        <v>0.04</v>
      </c>
      <c r="F17" s="23">
        <v>0.04</v>
      </c>
      <c r="G17" s="23">
        <v>0.05</v>
      </c>
    </row>
    <row r="18" spans="1:10" s="5" customFormat="1" ht="16" customHeight="1" x14ac:dyDescent="0.2">
      <c r="A18" s="2" t="s">
        <v>25</v>
      </c>
      <c r="B18" s="3" t="s">
        <v>26</v>
      </c>
      <c r="C18" s="4"/>
      <c r="D18" s="4"/>
      <c r="E18" s="4">
        <v>0.02</v>
      </c>
      <c r="F18" s="4">
        <v>0.02</v>
      </c>
      <c r="G18" s="15">
        <v>2.5000000000000001E-2</v>
      </c>
    </row>
    <row r="19" spans="1:10" s="5" customFormat="1" ht="16" customHeight="1" x14ac:dyDescent="0.2">
      <c r="A19" s="2" t="s">
        <v>17</v>
      </c>
      <c r="B19" s="18" t="s">
        <v>18</v>
      </c>
      <c r="C19" s="19"/>
      <c r="D19" s="19"/>
      <c r="E19" s="19">
        <v>0.02</v>
      </c>
      <c r="F19" s="19">
        <v>0.02</v>
      </c>
      <c r="G19" s="24">
        <v>2.5000000000000001E-2</v>
      </c>
    </row>
    <row r="20" spans="1:10" s="10" customFormat="1" ht="19" customHeight="1" x14ac:dyDescent="0.2">
      <c r="A20" s="78" t="s">
        <v>7</v>
      </c>
      <c r="B20" s="79" t="s">
        <v>2</v>
      </c>
      <c r="C20" s="9" t="s">
        <v>12</v>
      </c>
      <c r="D20" s="9" t="s">
        <v>13</v>
      </c>
      <c r="E20" s="9" t="s">
        <v>14</v>
      </c>
      <c r="F20" s="9" t="s">
        <v>15</v>
      </c>
      <c r="G20" s="25" t="s">
        <v>16</v>
      </c>
    </row>
    <row r="21" spans="1:10" s="10" customFormat="1" ht="19" customHeight="1" x14ac:dyDescent="0.2">
      <c r="A21" s="78"/>
      <c r="B21" s="80"/>
      <c r="C21" s="34">
        <f>C22+C27+C29</f>
        <v>0.67999999999999994</v>
      </c>
      <c r="D21" s="34">
        <f t="shared" ref="D21:G21" si="1">D22+D27+D29</f>
        <v>0.5</v>
      </c>
      <c r="E21" s="34">
        <f>E22+E27+E29</f>
        <v>0.32999999999999996</v>
      </c>
      <c r="F21" s="34">
        <f t="shared" si="1"/>
        <v>0.18</v>
      </c>
      <c r="G21" s="35">
        <f t="shared" si="1"/>
        <v>0</v>
      </c>
    </row>
    <row r="22" spans="1:10" s="7" customFormat="1" ht="16" customHeight="1" x14ac:dyDescent="0.2">
      <c r="A22" s="70" t="s">
        <v>8</v>
      </c>
      <c r="B22" s="71"/>
      <c r="C22" s="12">
        <v>0.57999999999999996</v>
      </c>
      <c r="D22" s="12">
        <v>0.41</v>
      </c>
      <c r="E22" s="12">
        <v>0.28999999999999998</v>
      </c>
      <c r="F22" s="12">
        <v>0.18</v>
      </c>
      <c r="G22" s="23">
        <f>SUM(G23:G25)</f>
        <v>0</v>
      </c>
    </row>
    <row r="23" spans="1:10" s="5" customFormat="1" ht="16" customHeight="1" x14ac:dyDescent="0.2">
      <c r="A23" s="2" t="s">
        <v>21</v>
      </c>
      <c r="B23" s="3" t="s">
        <v>22</v>
      </c>
      <c r="C23" s="16">
        <v>0.21</v>
      </c>
      <c r="D23" s="16">
        <v>0.15</v>
      </c>
      <c r="E23" s="16">
        <v>0.11</v>
      </c>
      <c r="F23" s="16">
        <v>0.08</v>
      </c>
      <c r="G23" s="17"/>
    </row>
    <row r="24" spans="1:10" s="5" customFormat="1" ht="16" customHeight="1" x14ac:dyDescent="0.2">
      <c r="A24" s="2" t="s">
        <v>79</v>
      </c>
      <c r="B24" s="3" t="s">
        <v>80</v>
      </c>
      <c r="C24" s="4">
        <v>0.14499999999999999</v>
      </c>
      <c r="D24" s="4">
        <v>0.1</v>
      </c>
      <c r="E24" s="4">
        <v>7.0000000000000007E-2</v>
      </c>
      <c r="F24" s="4">
        <v>0.05</v>
      </c>
      <c r="G24" s="15"/>
    </row>
    <row r="25" spans="1:10" s="5" customFormat="1" ht="16" customHeight="1" x14ac:dyDescent="0.2">
      <c r="A25" s="2" t="s">
        <v>77</v>
      </c>
      <c r="B25" s="3" t="s">
        <v>78</v>
      </c>
      <c r="C25" s="4">
        <v>0.14499999999999999</v>
      </c>
      <c r="D25" s="4">
        <v>0.1</v>
      </c>
      <c r="E25" s="4">
        <v>7.0000000000000007E-2</v>
      </c>
      <c r="F25" s="4">
        <v>0.05</v>
      </c>
      <c r="G25" s="15"/>
    </row>
    <row r="26" spans="1:10" s="5" customFormat="1" ht="16" customHeight="1" x14ac:dyDescent="0.2">
      <c r="A26" s="2" t="s">
        <v>64</v>
      </c>
      <c r="B26" s="3" t="s">
        <v>65</v>
      </c>
      <c r="C26" s="4">
        <v>0.08</v>
      </c>
      <c r="D26" s="4">
        <v>0.06</v>
      </c>
      <c r="E26" s="4">
        <v>0.04</v>
      </c>
      <c r="F26" s="4"/>
      <c r="G26" s="15"/>
    </row>
    <row r="27" spans="1:10" s="7" customFormat="1" ht="16" customHeight="1" x14ac:dyDescent="0.2">
      <c r="A27" s="81" t="s">
        <v>9</v>
      </c>
      <c r="B27" s="82"/>
      <c r="C27" s="13">
        <v>7.0000000000000007E-2</v>
      </c>
      <c r="D27" s="13">
        <v>0.06</v>
      </c>
      <c r="E27" s="13">
        <v>0.04</v>
      </c>
      <c r="F27" s="13"/>
      <c r="G27" s="26"/>
    </row>
    <row r="28" spans="1:10" s="5" customFormat="1" ht="16" customHeight="1" x14ac:dyDescent="0.2">
      <c r="A28" s="2" t="s">
        <v>23</v>
      </c>
      <c r="B28" s="3" t="s">
        <v>24</v>
      </c>
      <c r="C28" s="4">
        <v>7.0000000000000007E-2</v>
      </c>
      <c r="D28" s="4">
        <v>0.06</v>
      </c>
      <c r="E28" s="4">
        <v>0.04</v>
      </c>
      <c r="F28" s="4"/>
      <c r="G28" s="15"/>
    </row>
    <row r="29" spans="1:10" s="7" customFormat="1" ht="16" customHeight="1" x14ac:dyDescent="0.2">
      <c r="A29" s="70" t="s">
        <v>10</v>
      </c>
      <c r="B29" s="71"/>
      <c r="C29" s="12">
        <f>SUM(C30)</f>
        <v>0.03</v>
      </c>
      <c r="D29" s="12">
        <f t="shared" ref="D29" si="2">SUM(D30)</f>
        <v>0.03</v>
      </c>
      <c r="E29" s="12"/>
      <c r="F29" s="12"/>
      <c r="G29" s="23"/>
    </row>
    <row r="30" spans="1:10" s="5" customFormat="1" ht="16" customHeight="1" x14ac:dyDescent="0.2">
      <c r="A30" s="2" t="s">
        <v>19</v>
      </c>
      <c r="B30" s="3" t="s">
        <v>20</v>
      </c>
      <c r="C30" s="4">
        <v>0.03</v>
      </c>
      <c r="D30" s="4">
        <v>0.03</v>
      </c>
      <c r="E30" s="4"/>
      <c r="F30" s="4"/>
      <c r="G30" s="15"/>
      <c r="J30" s="6"/>
    </row>
    <row r="31" spans="1:10" s="7" customFormat="1" ht="16" customHeight="1" thickBot="1" x14ac:dyDescent="0.25">
      <c r="A31" s="76" t="s">
        <v>11</v>
      </c>
      <c r="B31" s="77"/>
      <c r="C31" s="27">
        <v>0.01</v>
      </c>
      <c r="D31" s="27">
        <v>0.01</v>
      </c>
      <c r="E31" s="27">
        <v>0.01</v>
      </c>
      <c r="F31" s="27">
        <v>0.01</v>
      </c>
      <c r="G31" s="28">
        <v>0.01</v>
      </c>
    </row>
  </sheetData>
  <mergeCells count="13">
    <mergeCell ref="A31:B31"/>
    <mergeCell ref="A17:B17"/>
    <mergeCell ref="A20:A21"/>
    <mergeCell ref="B20:B21"/>
    <mergeCell ref="A22:B22"/>
    <mergeCell ref="A27:B27"/>
    <mergeCell ref="A29:B29"/>
    <mergeCell ref="A14:B14"/>
    <mergeCell ref="A1:A2"/>
    <mergeCell ref="B1:B2"/>
    <mergeCell ref="A3:B3"/>
    <mergeCell ref="A8:B8"/>
    <mergeCell ref="A11:B11"/>
  </mergeCells>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87EB2-0D3E-5149-B552-5467EF239B6C}">
  <dimension ref="A1:K31"/>
  <sheetViews>
    <sheetView zoomScale="177" workbookViewId="0">
      <selection activeCell="B15" sqref="B15"/>
    </sheetView>
  </sheetViews>
  <sheetFormatPr baseColWidth="10" defaultRowHeight="11" x14ac:dyDescent="0.15"/>
  <cols>
    <col min="1" max="1" width="32.6640625" style="1" customWidth="1"/>
    <col min="2" max="2" width="21.6640625" style="1" customWidth="1"/>
    <col min="3" max="3" width="6.33203125" style="53" bestFit="1" customWidth="1"/>
    <col min="4" max="8" width="21.6640625" style="1" customWidth="1"/>
    <col min="9" max="9" width="10.83203125" style="43"/>
    <col min="10" max="16384" width="10.83203125" style="1"/>
  </cols>
  <sheetData>
    <row r="1" spans="1:10" s="8" customFormat="1" ht="20" customHeight="1" x14ac:dyDescent="0.2">
      <c r="A1" s="72" t="s">
        <v>0</v>
      </c>
      <c r="B1" s="74" t="s">
        <v>2</v>
      </c>
      <c r="C1" s="44"/>
      <c r="D1" s="20" t="s">
        <v>12</v>
      </c>
      <c r="E1" s="20" t="s">
        <v>13</v>
      </c>
      <c r="F1" s="20" t="s">
        <v>14</v>
      </c>
      <c r="G1" s="20" t="s">
        <v>15</v>
      </c>
      <c r="H1" s="21" t="s">
        <v>16</v>
      </c>
      <c r="I1" s="39"/>
    </row>
    <row r="2" spans="1:10" s="8" customFormat="1" ht="20" customHeight="1" x14ac:dyDescent="0.2">
      <c r="A2" s="73"/>
      <c r="B2" s="75"/>
      <c r="C2" s="45"/>
      <c r="D2" s="32">
        <f>D3+D8+D11+D14+D17</f>
        <v>0.31</v>
      </c>
      <c r="E2" s="32">
        <f>E3+E8+E11+E14+E17</f>
        <v>0.49</v>
      </c>
      <c r="F2" s="32">
        <f>F3+F8+F11+F14+F17</f>
        <v>0.66</v>
      </c>
      <c r="G2" s="32">
        <f>G3+G8+G11+G14+G17</f>
        <v>0.81</v>
      </c>
      <c r="H2" s="33">
        <f>H3+H8+H11+H14+H17</f>
        <v>0.9900000000000001</v>
      </c>
      <c r="I2" s="39"/>
      <c r="J2" s="36"/>
    </row>
    <row r="3" spans="1:10" s="7" customFormat="1" ht="16" customHeight="1" x14ac:dyDescent="0.2">
      <c r="A3" s="70" t="s">
        <v>1</v>
      </c>
      <c r="B3" s="71"/>
      <c r="C3" s="54" t="s">
        <v>83</v>
      </c>
      <c r="D3" s="12">
        <v>0.22</v>
      </c>
      <c r="E3" s="12">
        <v>0.3</v>
      </c>
      <c r="F3" s="12">
        <v>0.41</v>
      </c>
      <c r="G3" s="12">
        <v>0.52</v>
      </c>
      <c r="H3" s="23">
        <v>0.64</v>
      </c>
      <c r="I3" s="40"/>
    </row>
    <row r="4" spans="1:10" s="5" customFormat="1" ht="16" customHeight="1" x14ac:dyDescent="0.2">
      <c r="A4" s="2" t="s">
        <v>47</v>
      </c>
      <c r="B4" s="3" t="s">
        <v>28</v>
      </c>
      <c r="C4" s="4"/>
      <c r="D4" s="4">
        <v>0.11</v>
      </c>
      <c r="E4" s="4">
        <v>0.1</v>
      </c>
      <c r="F4" s="4">
        <v>0.13500000000000001</v>
      </c>
      <c r="G4" s="4">
        <v>0.17</v>
      </c>
      <c r="H4" s="15">
        <v>0.21</v>
      </c>
      <c r="I4" s="41"/>
      <c r="J4" s="38"/>
    </row>
    <row r="5" spans="1:10" s="5" customFormat="1" ht="16" customHeight="1" x14ac:dyDescent="0.2">
      <c r="A5" s="2" t="s">
        <v>46</v>
      </c>
      <c r="B5" s="3" t="s">
        <v>45</v>
      </c>
      <c r="C5" s="4"/>
      <c r="D5" s="4">
        <v>0.11</v>
      </c>
      <c r="E5" s="4">
        <v>0.1</v>
      </c>
      <c r="F5" s="4">
        <v>0.13500000000000001</v>
      </c>
      <c r="G5" s="4">
        <v>0.17</v>
      </c>
      <c r="H5" s="15">
        <v>0.21</v>
      </c>
      <c r="I5" s="41"/>
      <c r="J5" s="38"/>
    </row>
    <row r="6" spans="1:10" s="5" customFormat="1" ht="16" customHeight="1" x14ac:dyDescent="0.2">
      <c r="A6" s="2" t="s">
        <v>48</v>
      </c>
      <c r="B6" s="3" t="s">
        <v>49</v>
      </c>
      <c r="C6" s="4"/>
      <c r="D6" s="4"/>
      <c r="E6" s="4">
        <v>0.05</v>
      </c>
      <c r="F6" s="4">
        <v>7.0000000000000007E-2</v>
      </c>
      <c r="G6" s="4">
        <v>0.09</v>
      </c>
      <c r="H6" s="15">
        <v>0.11</v>
      </c>
      <c r="I6" s="41"/>
      <c r="J6" s="38"/>
    </row>
    <row r="7" spans="1:10" s="5" customFormat="1" ht="16" customHeight="1" x14ac:dyDescent="0.2">
      <c r="A7" s="2" t="s">
        <v>50</v>
      </c>
      <c r="B7" s="3" t="s">
        <v>51</v>
      </c>
      <c r="C7" s="4"/>
      <c r="D7" s="4"/>
      <c r="E7" s="4">
        <v>0.05</v>
      </c>
      <c r="F7" s="4">
        <v>7.0000000000000007E-2</v>
      </c>
      <c r="G7" s="4">
        <v>0.09</v>
      </c>
      <c r="H7" s="15">
        <v>0.11</v>
      </c>
      <c r="I7" s="41"/>
      <c r="J7" s="38"/>
    </row>
    <row r="8" spans="1:10" s="7" customFormat="1" ht="16" customHeight="1" x14ac:dyDescent="0.2">
      <c r="A8" s="70" t="s">
        <v>3</v>
      </c>
      <c r="B8" s="71"/>
      <c r="C8" s="46"/>
      <c r="D8" s="12">
        <v>0.04</v>
      </c>
      <c r="E8" s="12">
        <v>0.06</v>
      </c>
      <c r="F8" s="12">
        <v>0.08</v>
      </c>
      <c r="G8" s="12">
        <v>0.1</v>
      </c>
      <c r="H8" s="23">
        <v>0.12</v>
      </c>
      <c r="I8" s="40"/>
      <c r="J8" s="37"/>
    </row>
    <row r="9" spans="1:10" s="5" customFormat="1" ht="16" customHeight="1" x14ac:dyDescent="0.2">
      <c r="A9" s="2" t="s">
        <v>52</v>
      </c>
      <c r="B9" s="3" t="s">
        <v>53</v>
      </c>
      <c r="C9" s="4">
        <v>0.5</v>
      </c>
      <c r="D9" s="4">
        <v>0.02</v>
      </c>
      <c r="E9" s="4">
        <v>0.03</v>
      </c>
      <c r="F9" s="4">
        <v>0.04</v>
      </c>
      <c r="G9" s="4">
        <v>0.05</v>
      </c>
      <c r="H9" s="15">
        <v>0.06</v>
      </c>
      <c r="I9" s="41"/>
      <c r="J9" s="37"/>
    </row>
    <row r="10" spans="1:10" s="5" customFormat="1" ht="16" customHeight="1" x14ac:dyDescent="0.2">
      <c r="A10" s="2" t="s">
        <v>54</v>
      </c>
      <c r="B10" s="3" t="s">
        <v>70</v>
      </c>
      <c r="C10" s="4">
        <v>0.5</v>
      </c>
      <c r="D10" s="4">
        <v>0.02</v>
      </c>
      <c r="E10" s="4">
        <v>0.03</v>
      </c>
      <c r="F10" s="4">
        <v>0.04</v>
      </c>
      <c r="G10" s="4">
        <v>0.05</v>
      </c>
      <c r="H10" s="15">
        <v>0.06</v>
      </c>
      <c r="I10" s="41"/>
      <c r="J10" s="37"/>
    </row>
    <row r="11" spans="1:10" s="7" customFormat="1" ht="16" customHeight="1" x14ac:dyDescent="0.2">
      <c r="A11" s="70" t="s">
        <v>4</v>
      </c>
      <c r="B11" s="71"/>
      <c r="C11" s="46"/>
      <c r="D11" s="12">
        <v>0</v>
      </c>
      <c r="E11" s="12">
        <v>0.02</v>
      </c>
      <c r="F11" s="12">
        <v>0.04</v>
      </c>
      <c r="G11" s="12">
        <v>0.05</v>
      </c>
      <c r="H11" s="23">
        <v>0.06</v>
      </c>
      <c r="I11" s="40"/>
      <c r="J11" s="37"/>
    </row>
    <row r="12" spans="1:10" s="5" customFormat="1" ht="16" customHeight="1" x14ac:dyDescent="0.2">
      <c r="A12" s="2" t="s">
        <v>55</v>
      </c>
      <c r="B12" s="3" t="s">
        <v>57</v>
      </c>
      <c r="C12" s="4">
        <v>0.5</v>
      </c>
      <c r="D12" s="4"/>
      <c r="E12" s="4">
        <v>0.01</v>
      </c>
      <c r="F12" s="4">
        <v>0.02</v>
      </c>
      <c r="G12" s="4">
        <v>2.5000000000000001E-2</v>
      </c>
      <c r="H12" s="15">
        <v>0.03</v>
      </c>
      <c r="I12" s="41"/>
      <c r="J12" s="37"/>
    </row>
    <row r="13" spans="1:10" s="5" customFormat="1" ht="16" customHeight="1" x14ac:dyDescent="0.2">
      <c r="A13" s="2" t="s">
        <v>56</v>
      </c>
      <c r="B13" s="3" t="s">
        <v>40</v>
      </c>
      <c r="C13" s="4">
        <v>0.5</v>
      </c>
      <c r="D13" s="4"/>
      <c r="E13" s="4">
        <v>0.01</v>
      </c>
      <c r="F13" s="4">
        <v>0.02</v>
      </c>
      <c r="G13" s="4">
        <v>2.5000000000000001E-2</v>
      </c>
      <c r="H13" s="15">
        <v>0.03</v>
      </c>
      <c r="I13" s="41"/>
      <c r="J13" s="37"/>
    </row>
    <row r="14" spans="1:10" s="7" customFormat="1" ht="16" customHeight="1" x14ac:dyDescent="0.2">
      <c r="A14" s="70" t="s">
        <v>5</v>
      </c>
      <c r="B14" s="71"/>
      <c r="C14" s="46"/>
      <c r="D14" s="12">
        <v>0.05</v>
      </c>
      <c r="E14" s="12">
        <v>0.11</v>
      </c>
      <c r="F14" s="12">
        <v>0.09</v>
      </c>
      <c r="G14" s="12">
        <v>0.1</v>
      </c>
      <c r="H14" s="23">
        <v>0.12</v>
      </c>
      <c r="I14" s="40"/>
      <c r="J14" s="37"/>
    </row>
    <row r="15" spans="1:10" s="5" customFormat="1" ht="16" customHeight="1" x14ac:dyDescent="0.2">
      <c r="A15" s="2" t="s">
        <v>81</v>
      </c>
      <c r="B15" s="3" t="s">
        <v>82</v>
      </c>
      <c r="C15" s="4">
        <v>0.5</v>
      </c>
      <c r="D15" s="4">
        <v>2.5000000000000001E-2</v>
      </c>
      <c r="E15" s="4">
        <v>5.5E-2</v>
      </c>
      <c r="F15" s="4">
        <v>4.4999999999999998E-2</v>
      </c>
      <c r="G15" s="4">
        <v>0.05</v>
      </c>
      <c r="H15" s="15">
        <v>0.06</v>
      </c>
      <c r="I15" s="41"/>
      <c r="J15" s="37"/>
    </row>
    <row r="16" spans="1:10" s="5" customFormat="1" ht="16" customHeight="1" x14ac:dyDescent="0.2">
      <c r="A16" s="2" t="s">
        <v>58</v>
      </c>
      <c r="B16" s="3" t="s">
        <v>60</v>
      </c>
      <c r="C16" s="4">
        <v>0.5</v>
      </c>
      <c r="D16" s="4">
        <v>2.5000000000000001E-2</v>
      </c>
      <c r="E16" s="4">
        <v>5.5E-2</v>
      </c>
      <c r="F16" s="4">
        <v>4.4999999999999998E-2</v>
      </c>
      <c r="G16" s="4">
        <v>0.05</v>
      </c>
      <c r="H16" s="15">
        <v>0.06</v>
      </c>
      <c r="I16" s="41"/>
      <c r="J16" s="37"/>
    </row>
    <row r="17" spans="1:11" s="7" customFormat="1" ht="16" customHeight="1" x14ac:dyDescent="0.2">
      <c r="A17" s="70" t="s">
        <v>6</v>
      </c>
      <c r="B17" s="71"/>
      <c r="C17" s="47"/>
      <c r="D17" s="23">
        <v>0</v>
      </c>
      <c r="E17" s="23">
        <v>0</v>
      </c>
      <c r="F17" s="23">
        <v>0.04</v>
      </c>
      <c r="G17" s="23">
        <v>0.04</v>
      </c>
      <c r="H17" s="23">
        <v>0.05</v>
      </c>
      <c r="I17" s="40"/>
      <c r="J17" s="37"/>
    </row>
    <row r="18" spans="1:11" s="5" customFormat="1" ht="16" customHeight="1" x14ac:dyDescent="0.2">
      <c r="A18" s="2" t="s">
        <v>43</v>
      </c>
      <c r="B18" s="18" t="s">
        <v>44</v>
      </c>
      <c r="C18" s="48">
        <v>1</v>
      </c>
      <c r="D18" s="19"/>
      <c r="E18" s="19"/>
      <c r="F18" s="19">
        <v>0.04</v>
      </c>
      <c r="G18" s="19">
        <v>0.04</v>
      </c>
      <c r="H18" s="24">
        <v>0.05</v>
      </c>
      <c r="I18" s="41"/>
      <c r="J18" s="37"/>
    </row>
    <row r="19" spans="1:11" s="5" customFormat="1" ht="16" customHeight="1" x14ac:dyDescent="0.2">
      <c r="A19" s="2"/>
      <c r="B19" s="18"/>
      <c r="C19" s="48"/>
      <c r="D19" s="19"/>
      <c r="E19" s="19"/>
      <c r="F19" s="19"/>
      <c r="G19" s="19"/>
      <c r="H19" s="24"/>
      <c r="I19" s="41"/>
      <c r="J19" s="37"/>
    </row>
    <row r="20" spans="1:11" s="10" customFormat="1" ht="19" customHeight="1" x14ac:dyDescent="0.2">
      <c r="A20" s="78" t="s">
        <v>7</v>
      </c>
      <c r="B20" s="79" t="s">
        <v>2</v>
      </c>
      <c r="C20" s="49"/>
      <c r="D20" s="9" t="s">
        <v>12</v>
      </c>
      <c r="E20" s="9" t="s">
        <v>13</v>
      </c>
      <c r="F20" s="9" t="s">
        <v>14</v>
      </c>
      <c r="G20" s="9" t="s">
        <v>15</v>
      </c>
      <c r="H20" s="25" t="s">
        <v>16</v>
      </c>
      <c r="I20" s="42"/>
      <c r="J20" s="37"/>
    </row>
    <row r="21" spans="1:11" s="10" customFormat="1" ht="19" customHeight="1" x14ac:dyDescent="0.2">
      <c r="A21" s="78"/>
      <c r="B21" s="80"/>
      <c r="C21" s="50"/>
      <c r="D21" s="34">
        <f>D22+D27+D29</f>
        <v>0.67999999999999994</v>
      </c>
      <c r="E21" s="34">
        <f>E22+E27+E29</f>
        <v>0.5</v>
      </c>
      <c r="F21" s="34">
        <f>F22+F27+F29</f>
        <v>0.32999999999999996</v>
      </c>
      <c r="G21" s="34">
        <f>G22+G27+G29</f>
        <v>0.18</v>
      </c>
      <c r="H21" s="35">
        <f>H22+H27+H29</f>
        <v>0</v>
      </c>
      <c r="I21" s="42"/>
      <c r="J21" s="37"/>
    </row>
    <row r="22" spans="1:11" s="7" customFormat="1" ht="16" customHeight="1" x14ac:dyDescent="0.2">
      <c r="A22" s="70" t="s">
        <v>8</v>
      </c>
      <c r="B22" s="71"/>
      <c r="C22" s="46"/>
      <c r="D22" s="12">
        <v>0.57999999999999996</v>
      </c>
      <c r="E22" s="12">
        <v>0.41</v>
      </c>
      <c r="F22" s="12">
        <v>0.28999999999999998</v>
      </c>
      <c r="G22" s="12">
        <v>0.18</v>
      </c>
      <c r="H22" s="23">
        <f>SUM(H23:H25)</f>
        <v>0</v>
      </c>
      <c r="I22" s="40"/>
      <c r="J22" s="38"/>
    </row>
    <row r="23" spans="1:11" s="5" customFormat="1" ht="16" customHeight="1" x14ac:dyDescent="0.2">
      <c r="A23" s="2" t="s">
        <v>61</v>
      </c>
      <c r="B23" s="3" t="s">
        <v>62</v>
      </c>
      <c r="C23" s="16">
        <v>0.35</v>
      </c>
      <c r="D23" s="16">
        <v>0.21</v>
      </c>
      <c r="E23" s="16">
        <v>0.15</v>
      </c>
      <c r="F23" s="16">
        <v>0.11</v>
      </c>
      <c r="G23" s="16">
        <v>0.08</v>
      </c>
      <c r="H23" s="17"/>
      <c r="I23" s="41"/>
      <c r="J23" s="38"/>
    </row>
    <row r="24" spans="1:11" s="5" customFormat="1" ht="16" customHeight="1" x14ac:dyDescent="0.2">
      <c r="A24" s="2" t="s">
        <v>63</v>
      </c>
      <c r="B24" s="3" t="s">
        <v>37</v>
      </c>
      <c r="C24" s="4">
        <v>0.25</v>
      </c>
      <c r="D24" s="4">
        <v>0.14499999999999999</v>
      </c>
      <c r="E24" s="4">
        <v>0.1</v>
      </c>
      <c r="F24" s="4">
        <v>7.0000000000000007E-2</v>
      </c>
      <c r="G24" s="4">
        <v>0.05</v>
      </c>
      <c r="H24" s="15"/>
      <c r="I24" s="41"/>
      <c r="J24" s="38"/>
    </row>
    <row r="25" spans="1:11" s="5" customFormat="1" ht="16" customHeight="1" x14ac:dyDescent="0.2">
      <c r="A25" s="2" t="s">
        <v>67</v>
      </c>
      <c r="B25" s="3" t="s">
        <v>66</v>
      </c>
      <c r="C25" s="4">
        <v>0.25</v>
      </c>
      <c r="D25" s="4">
        <v>0.14499999999999999</v>
      </c>
      <c r="E25" s="4">
        <v>0.1</v>
      </c>
      <c r="F25" s="4">
        <v>7.0000000000000007E-2</v>
      </c>
      <c r="G25" s="4">
        <v>0.05</v>
      </c>
      <c r="H25" s="15"/>
      <c r="I25" s="41"/>
      <c r="J25" s="38"/>
    </row>
    <row r="26" spans="1:11" s="5" customFormat="1" ht="16" customHeight="1" x14ac:dyDescent="0.2">
      <c r="A26" s="2" t="s">
        <v>64</v>
      </c>
      <c r="B26" s="3" t="s">
        <v>65</v>
      </c>
      <c r="C26" s="4">
        <v>0.15</v>
      </c>
      <c r="D26" s="4">
        <v>0.08</v>
      </c>
      <c r="E26" s="4">
        <v>0.06</v>
      </c>
      <c r="F26" s="4">
        <v>0.04</v>
      </c>
      <c r="G26" s="4"/>
      <c r="H26" s="15"/>
      <c r="I26" s="41"/>
      <c r="J26" s="38"/>
    </row>
    <row r="27" spans="1:11" s="7" customFormat="1" ht="16" customHeight="1" x14ac:dyDescent="0.2">
      <c r="A27" s="81" t="s">
        <v>9</v>
      </c>
      <c r="B27" s="82"/>
      <c r="C27" s="51"/>
      <c r="D27" s="13">
        <f>SUM(D28)</f>
        <v>7.0000000000000007E-2</v>
      </c>
      <c r="E27" s="13">
        <f t="shared" ref="E27:H27" si="0">SUM(E28)</f>
        <v>0.06</v>
      </c>
      <c r="F27" s="13">
        <f t="shared" si="0"/>
        <v>0.04</v>
      </c>
      <c r="G27" s="13">
        <f t="shared" si="0"/>
        <v>0</v>
      </c>
      <c r="H27" s="26">
        <f t="shared" si="0"/>
        <v>0</v>
      </c>
      <c r="I27" s="40"/>
      <c r="J27" s="37"/>
    </row>
    <row r="28" spans="1:11" s="5" customFormat="1" ht="16" customHeight="1" x14ac:dyDescent="0.2">
      <c r="A28" s="2" t="s">
        <v>68</v>
      </c>
      <c r="B28" s="3" t="s">
        <v>69</v>
      </c>
      <c r="C28" s="4">
        <v>1</v>
      </c>
      <c r="D28" s="4">
        <v>7.0000000000000007E-2</v>
      </c>
      <c r="E28" s="4">
        <v>0.06</v>
      </c>
      <c r="F28" s="4">
        <v>0.04</v>
      </c>
      <c r="G28" s="4"/>
      <c r="H28" s="15"/>
      <c r="I28" s="41"/>
      <c r="J28" s="37"/>
    </row>
    <row r="29" spans="1:11" s="7" customFormat="1" ht="16" customHeight="1" x14ac:dyDescent="0.2">
      <c r="A29" s="70" t="s">
        <v>10</v>
      </c>
      <c r="B29" s="71"/>
      <c r="C29" s="46"/>
      <c r="D29" s="12">
        <f>SUM(D30)</f>
        <v>0.03</v>
      </c>
      <c r="E29" s="12">
        <f t="shared" ref="E29:H29" si="1">SUM(E30)</f>
        <v>0.03</v>
      </c>
      <c r="F29" s="12">
        <f t="shared" si="1"/>
        <v>0</v>
      </c>
      <c r="G29" s="12">
        <f t="shared" si="1"/>
        <v>0</v>
      </c>
      <c r="H29" s="23">
        <f t="shared" si="1"/>
        <v>0</v>
      </c>
      <c r="I29" s="40"/>
      <c r="J29" s="37"/>
    </row>
    <row r="30" spans="1:11" s="5" customFormat="1" ht="16" customHeight="1" x14ac:dyDescent="0.2">
      <c r="A30" s="2" t="s">
        <v>38</v>
      </c>
      <c r="B30" s="3" t="s">
        <v>39</v>
      </c>
      <c r="C30" s="4">
        <v>1</v>
      </c>
      <c r="D30" s="4">
        <v>0.03</v>
      </c>
      <c r="E30" s="4">
        <v>0.03</v>
      </c>
      <c r="F30" s="4">
        <v>0</v>
      </c>
      <c r="G30" s="4"/>
      <c r="H30" s="15"/>
      <c r="I30" s="41"/>
      <c r="J30" s="37"/>
      <c r="K30" s="6"/>
    </row>
    <row r="31" spans="1:11" s="7" customFormat="1" ht="16" customHeight="1" thickBot="1" x14ac:dyDescent="0.25">
      <c r="A31" s="76" t="s">
        <v>11</v>
      </c>
      <c r="B31" s="77"/>
      <c r="C31" s="52"/>
      <c r="D31" s="27">
        <v>0.01</v>
      </c>
      <c r="E31" s="27">
        <v>0.01</v>
      </c>
      <c r="F31" s="27">
        <v>0.01</v>
      </c>
      <c r="G31" s="27">
        <v>0.01</v>
      </c>
      <c r="H31" s="28">
        <v>0.01</v>
      </c>
      <c r="I31" s="40"/>
      <c r="J31" s="37"/>
    </row>
  </sheetData>
  <mergeCells count="13">
    <mergeCell ref="A31:B31"/>
    <mergeCell ref="A17:B17"/>
    <mergeCell ref="A20:A21"/>
    <mergeCell ref="B20:B21"/>
    <mergeCell ref="A22:B22"/>
    <mergeCell ref="A27:B27"/>
    <mergeCell ref="A29:B29"/>
    <mergeCell ref="A14:B14"/>
    <mergeCell ref="A1:A2"/>
    <mergeCell ref="B1:B2"/>
    <mergeCell ref="A3:B3"/>
    <mergeCell ref="A8:B8"/>
    <mergeCell ref="A11:B11"/>
  </mergeCells>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10892-4997-6D4D-B6D5-25163E3E6B67}">
  <dimension ref="A1:J21"/>
  <sheetViews>
    <sheetView zoomScale="140" zoomScaleNormal="140" workbookViewId="0">
      <selection activeCell="B20" sqref="B20"/>
    </sheetView>
  </sheetViews>
  <sheetFormatPr baseColWidth="10" defaultRowHeight="11" x14ac:dyDescent="0.15"/>
  <cols>
    <col min="1" max="1" width="35.6640625" style="1" bestFit="1" customWidth="1"/>
    <col min="2" max="7" width="21.6640625" style="1" customWidth="1"/>
    <col min="8" max="16384" width="10.83203125" style="1"/>
  </cols>
  <sheetData>
    <row r="1" spans="1:7" s="8" customFormat="1" ht="20" customHeight="1" x14ac:dyDescent="0.2">
      <c r="A1" s="72" t="s">
        <v>0</v>
      </c>
      <c r="B1" s="74" t="s">
        <v>2</v>
      </c>
      <c r="C1" s="20" t="s">
        <v>12</v>
      </c>
      <c r="D1" s="20" t="s">
        <v>13</v>
      </c>
      <c r="E1" s="20" t="s">
        <v>14</v>
      </c>
      <c r="F1" s="20" t="s">
        <v>15</v>
      </c>
      <c r="G1" s="21" t="s">
        <v>16</v>
      </c>
    </row>
    <row r="2" spans="1:7" s="8" customFormat="1" ht="20" customHeight="1" x14ac:dyDescent="0.2">
      <c r="A2" s="73"/>
      <c r="B2" s="75"/>
      <c r="C2" s="14">
        <f>C3+C5+C7+C9+C11</f>
        <v>0.31</v>
      </c>
      <c r="D2" s="14">
        <f>D3+D5+D7+D9+D11</f>
        <v>0.49</v>
      </c>
      <c r="E2" s="14">
        <f>E3+E5+E7+E9+E11</f>
        <v>0.66</v>
      </c>
      <c r="F2" s="14">
        <f>F3+F5+F7+F9+F11</f>
        <v>0.8</v>
      </c>
      <c r="G2" s="22">
        <f>G3+G5+G7+G9+G11</f>
        <v>0.9900000000000001</v>
      </c>
    </row>
    <row r="3" spans="1:7" s="7" customFormat="1" ht="16" customHeight="1" x14ac:dyDescent="0.2">
      <c r="A3" s="70" t="s">
        <v>1</v>
      </c>
      <c r="B3" s="71"/>
      <c r="C3" s="12">
        <v>0.22</v>
      </c>
      <c r="D3" s="12">
        <v>0.3</v>
      </c>
      <c r="E3" s="12">
        <v>0.41</v>
      </c>
      <c r="F3" s="12">
        <v>0.51</v>
      </c>
      <c r="G3" s="23">
        <v>0.64</v>
      </c>
    </row>
    <row r="4" spans="1:7" s="5" customFormat="1" ht="16" customHeight="1" x14ac:dyDescent="0.2">
      <c r="A4" s="2" t="s">
        <v>31</v>
      </c>
      <c r="B4" s="3" t="s">
        <v>32</v>
      </c>
      <c r="C4" s="4">
        <v>0.22</v>
      </c>
      <c r="D4" s="4">
        <v>0.3</v>
      </c>
      <c r="E4" s="4">
        <v>0.41</v>
      </c>
      <c r="F4" s="4">
        <v>0.51</v>
      </c>
      <c r="G4" s="15">
        <v>0.64</v>
      </c>
    </row>
    <row r="5" spans="1:7" s="7" customFormat="1" ht="16" customHeight="1" x14ac:dyDescent="0.2">
      <c r="A5" s="70" t="s">
        <v>3</v>
      </c>
      <c r="B5" s="71"/>
      <c r="C5" s="12">
        <v>0.04</v>
      </c>
      <c r="D5" s="12">
        <v>0.06</v>
      </c>
      <c r="E5" s="12">
        <v>0.08</v>
      </c>
      <c r="F5" s="12">
        <v>0.1</v>
      </c>
      <c r="G5" s="23">
        <v>0.12</v>
      </c>
    </row>
    <row r="6" spans="1:7" s="5" customFormat="1" ht="16" customHeight="1" x14ac:dyDescent="0.2">
      <c r="A6" s="2" t="s">
        <v>90</v>
      </c>
      <c r="B6" s="3" t="s">
        <v>91</v>
      </c>
      <c r="C6" s="4">
        <v>0.04</v>
      </c>
      <c r="D6" s="4">
        <v>0.06</v>
      </c>
      <c r="E6" s="4">
        <v>0.08</v>
      </c>
      <c r="F6" s="4">
        <v>0.1</v>
      </c>
      <c r="G6" s="15">
        <v>0.12</v>
      </c>
    </row>
    <row r="7" spans="1:7" s="7" customFormat="1" ht="16" customHeight="1" x14ac:dyDescent="0.2">
      <c r="A7" s="70" t="s">
        <v>4</v>
      </c>
      <c r="B7" s="71"/>
      <c r="C7" s="12">
        <v>0</v>
      </c>
      <c r="D7" s="12">
        <v>0.02</v>
      </c>
      <c r="E7" s="12">
        <v>0.04</v>
      </c>
      <c r="F7" s="12">
        <v>0.05</v>
      </c>
      <c r="G7" s="23">
        <v>0.06</v>
      </c>
    </row>
    <row r="8" spans="1:7" s="5" customFormat="1" ht="16" customHeight="1" x14ac:dyDescent="0.2">
      <c r="A8" s="2" t="s">
        <v>89</v>
      </c>
      <c r="B8" s="3" t="s">
        <v>88</v>
      </c>
      <c r="C8" s="4"/>
      <c r="D8" s="4">
        <v>0.02</v>
      </c>
      <c r="E8" s="4">
        <v>0.04</v>
      </c>
      <c r="F8" s="4">
        <v>0.05</v>
      </c>
      <c r="G8" s="15">
        <v>0.06</v>
      </c>
    </row>
    <row r="9" spans="1:7" s="7" customFormat="1" ht="16" customHeight="1" x14ac:dyDescent="0.2">
      <c r="A9" s="70" t="s">
        <v>5</v>
      </c>
      <c r="B9" s="71"/>
      <c r="C9" s="12">
        <v>0.05</v>
      </c>
      <c r="D9" s="12">
        <v>0.11</v>
      </c>
      <c r="E9" s="12">
        <v>0.09</v>
      </c>
      <c r="F9" s="12">
        <v>0.1</v>
      </c>
      <c r="G9" s="23">
        <v>0.12</v>
      </c>
    </row>
    <row r="10" spans="1:7" s="5" customFormat="1" ht="16" customHeight="1" x14ac:dyDescent="0.2">
      <c r="A10" s="2" t="s">
        <v>33</v>
      </c>
      <c r="B10" s="3" t="s">
        <v>34</v>
      </c>
      <c r="C10" s="4">
        <v>0.05</v>
      </c>
      <c r="D10" s="4">
        <v>0.11</v>
      </c>
      <c r="E10" s="4">
        <v>0.09</v>
      </c>
      <c r="F10" s="4">
        <v>0.1</v>
      </c>
      <c r="G10" s="15">
        <v>0.12</v>
      </c>
    </row>
    <row r="11" spans="1:7" s="7" customFormat="1" ht="16" customHeight="1" x14ac:dyDescent="0.2">
      <c r="A11" s="70" t="s">
        <v>6</v>
      </c>
      <c r="B11" s="71"/>
      <c r="C11" s="23">
        <v>0</v>
      </c>
      <c r="D11" s="23">
        <v>0</v>
      </c>
      <c r="E11" s="23">
        <v>0.04</v>
      </c>
      <c r="F11" s="23">
        <v>0.04</v>
      </c>
      <c r="G11" s="23">
        <v>0.05</v>
      </c>
    </row>
    <row r="12" spans="1:7" s="5" customFormat="1" ht="16" customHeight="1" x14ac:dyDescent="0.2">
      <c r="A12" s="2" t="s">
        <v>95</v>
      </c>
      <c r="B12" s="18" t="s">
        <v>94</v>
      </c>
      <c r="C12" s="19"/>
      <c r="D12" s="19"/>
      <c r="E12" s="19">
        <v>0.04</v>
      </c>
      <c r="F12" s="19">
        <v>0.04</v>
      </c>
      <c r="G12" s="24">
        <v>0.05</v>
      </c>
    </row>
    <row r="13" spans="1:7" s="10" customFormat="1" ht="19" customHeight="1" x14ac:dyDescent="0.2">
      <c r="A13" s="78" t="s">
        <v>98</v>
      </c>
      <c r="B13" s="79" t="s">
        <v>2</v>
      </c>
      <c r="C13" s="9" t="s">
        <v>12</v>
      </c>
      <c r="D13" s="9" t="s">
        <v>13</v>
      </c>
      <c r="E13" s="9" t="s">
        <v>14</v>
      </c>
      <c r="F13" s="9" t="s">
        <v>15</v>
      </c>
      <c r="G13" s="25" t="s">
        <v>16</v>
      </c>
    </row>
    <row r="14" spans="1:7" s="10" customFormat="1" ht="19" customHeight="1" x14ac:dyDescent="0.2">
      <c r="A14" s="78"/>
      <c r="B14" s="80"/>
      <c r="C14" s="11">
        <f>C15+C17+C19+C21</f>
        <v>0.69</v>
      </c>
      <c r="D14" s="11">
        <f t="shared" ref="D14:G14" si="0">D15+D17+D19+D21</f>
        <v>0.51</v>
      </c>
      <c r="E14" s="11">
        <f t="shared" si="0"/>
        <v>0.33999999999999997</v>
      </c>
      <c r="F14" s="11">
        <f t="shared" si="0"/>
        <v>0.19</v>
      </c>
      <c r="G14" s="11">
        <f t="shared" si="0"/>
        <v>0.01</v>
      </c>
    </row>
    <row r="15" spans="1:7" s="7" customFormat="1" ht="16" customHeight="1" x14ac:dyDescent="0.2">
      <c r="A15" s="70" t="s">
        <v>8</v>
      </c>
      <c r="B15" s="71"/>
      <c r="C15" s="12">
        <v>0.57999999999999996</v>
      </c>
      <c r="D15" s="12">
        <v>0.41</v>
      </c>
      <c r="E15" s="12">
        <v>0.28999999999999998</v>
      </c>
      <c r="F15" s="12">
        <v>0.18</v>
      </c>
      <c r="G15" s="23">
        <v>0</v>
      </c>
    </row>
    <row r="16" spans="1:7" s="5" customFormat="1" ht="16" customHeight="1" x14ac:dyDescent="0.2">
      <c r="A16" s="2" t="s">
        <v>35</v>
      </c>
      <c r="B16" s="3" t="s">
        <v>36</v>
      </c>
      <c r="C16" s="16">
        <v>0.57999999999999996</v>
      </c>
      <c r="D16" s="16">
        <v>0.41</v>
      </c>
      <c r="E16" s="16">
        <v>0.28999999999999998</v>
      </c>
      <c r="F16" s="16">
        <v>0.19</v>
      </c>
      <c r="G16" s="17"/>
    </row>
    <row r="17" spans="1:10" s="7" customFormat="1" ht="16" customHeight="1" x14ac:dyDescent="0.2">
      <c r="A17" s="81" t="s">
        <v>9</v>
      </c>
      <c r="B17" s="82"/>
      <c r="C17" s="13">
        <v>7.0000000000000007E-2</v>
      </c>
      <c r="D17" s="13">
        <v>0.06</v>
      </c>
      <c r="E17" s="13">
        <v>0.04</v>
      </c>
      <c r="F17" s="13">
        <v>0</v>
      </c>
      <c r="G17" s="26">
        <v>0</v>
      </c>
    </row>
    <row r="18" spans="1:10" s="5" customFormat="1" ht="16" customHeight="1" x14ac:dyDescent="0.2">
      <c r="A18" s="2" t="s">
        <v>92</v>
      </c>
      <c r="B18" s="3" t="s">
        <v>93</v>
      </c>
      <c r="C18" s="4">
        <v>7.0000000000000007E-2</v>
      </c>
      <c r="D18" s="4">
        <v>0.06</v>
      </c>
      <c r="E18" s="4">
        <v>0.04</v>
      </c>
      <c r="F18" s="4"/>
      <c r="G18" s="15"/>
    </row>
    <row r="19" spans="1:10" s="7" customFormat="1" ht="16" customHeight="1" x14ac:dyDescent="0.2">
      <c r="A19" s="83" t="s">
        <v>10</v>
      </c>
      <c r="B19" s="84"/>
      <c r="C19" s="12">
        <f>SUM(C20)</f>
        <v>0.03</v>
      </c>
      <c r="D19" s="12">
        <f t="shared" ref="D19:E19" si="1">SUM(D20)</f>
        <v>0.03</v>
      </c>
      <c r="E19" s="12">
        <f t="shared" si="1"/>
        <v>0</v>
      </c>
      <c r="F19" s="12">
        <v>0</v>
      </c>
      <c r="G19" s="23">
        <v>0</v>
      </c>
    </row>
    <row r="20" spans="1:10" s="5" customFormat="1" ht="16" customHeight="1" x14ac:dyDescent="0.2">
      <c r="A20" s="2" t="s">
        <v>96</v>
      </c>
      <c r="B20" s="3" t="s">
        <v>97</v>
      </c>
      <c r="C20" s="4">
        <v>0.03</v>
      </c>
      <c r="D20" s="4">
        <v>0.03</v>
      </c>
      <c r="E20" s="4"/>
      <c r="F20" s="4"/>
      <c r="G20" s="15"/>
      <c r="J20" s="6"/>
    </row>
    <row r="21" spans="1:10" s="7" customFormat="1" ht="16" customHeight="1" thickBot="1" x14ac:dyDescent="0.25">
      <c r="A21" s="76" t="s">
        <v>11</v>
      </c>
      <c r="B21" s="77"/>
      <c r="C21" s="27">
        <v>0.01</v>
      </c>
      <c r="D21" s="27">
        <v>0.01</v>
      </c>
      <c r="E21" s="27">
        <v>0.01</v>
      </c>
      <c r="F21" s="27">
        <v>0.01</v>
      </c>
      <c r="G21" s="28">
        <v>0.01</v>
      </c>
    </row>
  </sheetData>
  <mergeCells count="13">
    <mergeCell ref="A9:B9"/>
    <mergeCell ref="A1:A2"/>
    <mergeCell ref="B1:B2"/>
    <mergeCell ref="A3:B3"/>
    <mergeCell ref="A5:B5"/>
    <mergeCell ref="A7:B7"/>
    <mergeCell ref="A21:B21"/>
    <mergeCell ref="A11:B11"/>
    <mergeCell ref="A13:A14"/>
    <mergeCell ref="B13:B14"/>
    <mergeCell ref="A15:B15"/>
    <mergeCell ref="A17:B17"/>
    <mergeCell ref="A19:B19"/>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27E55-FB84-3647-A8C0-DC826ACFBF8F}">
  <dimension ref="E2:Q36"/>
  <sheetViews>
    <sheetView workbookViewId="0">
      <selection activeCell="I14" sqref="I14"/>
    </sheetView>
  </sheetViews>
  <sheetFormatPr baseColWidth="10" defaultRowHeight="16" x14ac:dyDescent="0.2"/>
  <cols>
    <col min="5" max="5" width="20.1640625" bestFit="1" customWidth="1"/>
    <col min="6" max="6" width="37.1640625" style="55" bestFit="1" customWidth="1"/>
    <col min="7" max="7" width="39.83203125" style="55" bestFit="1" customWidth="1"/>
    <col min="8" max="8" width="37.1640625" style="55" bestFit="1" customWidth="1"/>
    <col min="9" max="9" width="39.83203125" style="55" bestFit="1" customWidth="1"/>
    <col min="10" max="10" width="10.83203125" customWidth="1"/>
    <col min="11" max="11" width="39.6640625" customWidth="1"/>
    <col min="13" max="13" width="23" bestFit="1" customWidth="1"/>
    <col min="14" max="14" width="37.1640625" style="55" bestFit="1" customWidth="1"/>
    <col min="15" max="15" width="39.83203125" bestFit="1" customWidth="1"/>
    <col min="16" max="16" width="37.1640625" bestFit="1" customWidth="1"/>
    <col min="17" max="17" width="39.83203125" bestFit="1" customWidth="1"/>
  </cols>
  <sheetData>
    <row r="2" spans="5:16" x14ac:dyDescent="0.2">
      <c r="E2" s="56"/>
      <c r="F2" s="57"/>
      <c r="G2" s="57"/>
      <c r="H2" s="57"/>
      <c r="I2" s="57"/>
      <c r="J2" s="56"/>
      <c r="K2" s="56"/>
      <c r="L2" s="56"/>
      <c r="M2" s="56"/>
      <c r="N2" s="57"/>
    </row>
    <row r="3" spans="5:16" x14ac:dyDescent="0.2">
      <c r="E3" s="56"/>
      <c r="F3" s="57"/>
      <c r="G3" s="57"/>
      <c r="H3" s="57"/>
      <c r="I3" s="57"/>
      <c r="J3" s="56"/>
      <c r="K3" s="56"/>
      <c r="L3" s="56"/>
      <c r="M3" s="56"/>
      <c r="N3" s="57"/>
    </row>
    <row r="4" spans="5:16" x14ac:dyDescent="0.2">
      <c r="E4" s="56"/>
      <c r="F4" s="57"/>
      <c r="G4" s="57"/>
      <c r="H4" s="57"/>
      <c r="I4" s="57"/>
      <c r="J4" s="56"/>
      <c r="K4" s="56"/>
      <c r="L4" s="56"/>
      <c r="M4" s="56"/>
      <c r="N4" s="57"/>
    </row>
    <row r="5" spans="5:16" x14ac:dyDescent="0.2">
      <c r="E5" s="68" t="s">
        <v>124</v>
      </c>
      <c r="F5" s="68"/>
      <c r="G5" s="68"/>
      <c r="H5" s="68"/>
      <c r="I5" s="68"/>
      <c r="J5" s="68"/>
      <c r="K5" s="68"/>
      <c r="L5" s="68"/>
      <c r="M5" s="68"/>
      <c r="N5" s="68"/>
    </row>
    <row r="6" spans="5:16" x14ac:dyDescent="0.2">
      <c r="E6" s="56"/>
      <c r="F6" s="57"/>
      <c r="G6" s="57"/>
      <c r="H6" s="57"/>
      <c r="I6" s="57"/>
      <c r="J6" s="56"/>
      <c r="K6" s="56"/>
      <c r="L6" s="56"/>
      <c r="M6" s="56"/>
      <c r="N6" s="57"/>
    </row>
    <row r="7" spans="5:16" x14ac:dyDescent="0.2">
      <c r="E7" s="56"/>
      <c r="F7" s="57"/>
      <c r="G7" s="57"/>
      <c r="H7" s="57"/>
      <c r="I7" s="57"/>
      <c r="J7" s="56"/>
      <c r="K7" s="56"/>
      <c r="L7" s="56"/>
      <c r="M7" s="56"/>
      <c r="N7" s="57"/>
    </row>
    <row r="8" spans="5:16" x14ac:dyDescent="0.2">
      <c r="E8" s="56" t="s">
        <v>99</v>
      </c>
      <c r="F8" s="57"/>
      <c r="G8" s="56" t="s">
        <v>123</v>
      </c>
      <c r="H8" s="57"/>
      <c r="I8" s="62" t="s">
        <v>126</v>
      </c>
      <c r="J8" s="62"/>
      <c r="K8" s="62" t="s">
        <v>136</v>
      </c>
      <c r="L8" s="62"/>
      <c r="M8" s="63"/>
      <c r="N8" s="63"/>
      <c r="O8" s="63"/>
      <c r="P8" s="63"/>
    </row>
    <row r="9" spans="5:16" x14ac:dyDescent="0.2">
      <c r="E9" s="56"/>
      <c r="F9" s="57"/>
      <c r="G9" s="56"/>
      <c r="H9" s="57"/>
      <c r="I9" s="62"/>
      <c r="J9" s="62"/>
      <c r="K9" s="62"/>
      <c r="L9" s="62"/>
      <c r="M9" s="63"/>
      <c r="N9" s="63"/>
      <c r="O9" s="63"/>
      <c r="P9" s="63"/>
    </row>
    <row r="10" spans="5:16" x14ac:dyDescent="0.2">
      <c r="E10" s="58" t="s">
        <v>104</v>
      </c>
      <c r="F10" s="59">
        <v>0.08</v>
      </c>
      <c r="G10" s="56" t="s">
        <v>109</v>
      </c>
      <c r="H10" s="60">
        <v>0.15</v>
      </c>
      <c r="I10" s="64" t="s">
        <v>127</v>
      </c>
      <c r="J10" s="60">
        <v>0.15</v>
      </c>
      <c r="K10" s="62" t="s">
        <v>137</v>
      </c>
      <c r="L10" s="66">
        <v>0.1</v>
      </c>
      <c r="M10" s="63"/>
      <c r="N10" s="63"/>
      <c r="O10" s="63"/>
      <c r="P10" s="63"/>
    </row>
    <row r="11" spans="5:16" x14ac:dyDescent="0.2">
      <c r="E11" s="58" t="s">
        <v>105</v>
      </c>
      <c r="F11" s="59">
        <v>0.05</v>
      </c>
      <c r="G11" s="56" t="s">
        <v>110</v>
      </c>
      <c r="H11" s="60">
        <v>0.12</v>
      </c>
      <c r="I11" s="62" t="s">
        <v>128</v>
      </c>
      <c r="J11" s="60">
        <v>0.1</v>
      </c>
      <c r="K11" s="62" t="s">
        <v>138</v>
      </c>
      <c r="L11" s="60">
        <v>0.1</v>
      </c>
      <c r="M11" s="63"/>
      <c r="N11" s="63"/>
      <c r="O11" s="63"/>
      <c r="P11" s="63"/>
    </row>
    <row r="12" spans="5:16" x14ac:dyDescent="0.2">
      <c r="E12" s="58" t="s">
        <v>106</v>
      </c>
      <c r="F12" s="59">
        <v>0.08</v>
      </c>
      <c r="G12" s="56" t="s">
        <v>113</v>
      </c>
      <c r="H12" s="60">
        <v>0.1</v>
      </c>
      <c r="I12" s="64" t="s">
        <v>147</v>
      </c>
      <c r="J12" s="60">
        <v>0.1</v>
      </c>
      <c r="K12" s="62" t="s">
        <v>130</v>
      </c>
      <c r="L12" s="60">
        <v>0.05</v>
      </c>
      <c r="M12" s="63"/>
      <c r="N12" s="63"/>
      <c r="O12" s="63"/>
      <c r="P12" s="63"/>
    </row>
    <row r="13" spans="5:16" x14ac:dyDescent="0.2">
      <c r="E13" s="58" t="s">
        <v>107</v>
      </c>
      <c r="F13" s="59">
        <v>0.06</v>
      </c>
      <c r="G13" s="56" t="s">
        <v>118</v>
      </c>
      <c r="H13" s="60">
        <v>0.1</v>
      </c>
      <c r="I13" s="64" t="s">
        <v>129</v>
      </c>
      <c r="J13" s="60">
        <v>0.1</v>
      </c>
      <c r="K13" s="64" t="s">
        <v>139</v>
      </c>
      <c r="L13" s="65">
        <v>0.12</v>
      </c>
      <c r="M13" s="63"/>
      <c r="N13" s="63"/>
      <c r="O13" s="63"/>
      <c r="P13" s="63"/>
    </row>
    <row r="14" spans="5:16" x14ac:dyDescent="0.2">
      <c r="E14" s="58" t="s">
        <v>108</v>
      </c>
      <c r="F14" s="59">
        <v>0.05</v>
      </c>
      <c r="G14" s="56" t="s">
        <v>111</v>
      </c>
      <c r="H14" s="60">
        <v>0.08</v>
      </c>
      <c r="I14" s="62" t="s">
        <v>130</v>
      </c>
      <c r="J14" s="66">
        <v>0.1</v>
      </c>
      <c r="K14" s="62" t="s">
        <v>140</v>
      </c>
      <c r="L14" s="60">
        <v>0.08</v>
      </c>
      <c r="M14" s="63"/>
      <c r="N14" s="63"/>
      <c r="O14" s="63"/>
      <c r="P14" s="63"/>
    </row>
    <row r="15" spans="5:16" x14ac:dyDescent="0.2">
      <c r="E15" s="58" t="s">
        <v>109</v>
      </c>
      <c r="F15" s="59">
        <v>0.12</v>
      </c>
      <c r="G15" s="56" t="s">
        <v>119</v>
      </c>
      <c r="H15" s="60">
        <v>0.05</v>
      </c>
      <c r="I15" s="62" t="s">
        <v>131</v>
      </c>
      <c r="J15" s="60">
        <v>0.1</v>
      </c>
      <c r="K15" s="62" t="s">
        <v>141</v>
      </c>
      <c r="L15" s="60">
        <v>0.05</v>
      </c>
      <c r="M15" s="63"/>
      <c r="N15" s="63"/>
      <c r="O15" s="63"/>
      <c r="P15" s="63"/>
    </row>
    <row r="16" spans="5:16" x14ac:dyDescent="0.2">
      <c r="E16" s="58" t="s">
        <v>110</v>
      </c>
      <c r="F16" s="59">
        <v>0.13</v>
      </c>
      <c r="G16" s="56" t="s">
        <v>114</v>
      </c>
      <c r="H16" s="60">
        <v>0.08</v>
      </c>
      <c r="I16" s="62" t="s">
        <v>132</v>
      </c>
      <c r="J16" s="60">
        <v>0.1</v>
      </c>
      <c r="K16" s="62" t="s">
        <v>142</v>
      </c>
      <c r="L16" s="60">
        <v>0.08</v>
      </c>
      <c r="M16" s="63"/>
      <c r="N16" s="63"/>
      <c r="O16" s="63"/>
      <c r="P16" s="63"/>
    </row>
    <row r="17" spans="5:17" x14ac:dyDescent="0.2">
      <c r="E17" s="58" t="s">
        <v>111</v>
      </c>
      <c r="F17" s="59">
        <v>0.08</v>
      </c>
      <c r="G17" s="56" t="s">
        <v>120</v>
      </c>
      <c r="H17" s="60">
        <v>0.08</v>
      </c>
      <c r="I17" s="67" t="s">
        <v>148</v>
      </c>
      <c r="J17" s="65">
        <v>0.1</v>
      </c>
      <c r="K17" s="62" t="s">
        <v>143</v>
      </c>
      <c r="L17" s="60">
        <v>0.05</v>
      </c>
      <c r="M17" s="63"/>
      <c r="N17" s="63"/>
      <c r="O17" s="63"/>
      <c r="P17" s="63"/>
    </row>
    <row r="18" spans="5:17" x14ac:dyDescent="0.2">
      <c r="E18" s="58" t="s">
        <v>112</v>
      </c>
      <c r="F18" s="59">
        <v>0.06</v>
      </c>
      <c r="G18" s="56" t="s">
        <v>121</v>
      </c>
      <c r="H18" s="60">
        <v>0.05</v>
      </c>
      <c r="I18" s="62" t="s">
        <v>134</v>
      </c>
      <c r="J18" s="60">
        <v>0.05</v>
      </c>
      <c r="K18" s="64" t="s">
        <v>144</v>
      </c>
      <c r="L18" s="65">
        <v>0.1</v>
      </c>
      <c r="M18" s="63"/>
      <c r="N18" s="63"/>
      <c r="O18" s="63"/>
      <c r="P18" s="63"/>
    </row>
    <row r="19" spans="5:17" x14ac:dyDescent="0.2">
      <c r="E19" s="58" t="s">
        <v>113</v>
      </c>
      <c r="F19" s="59">
        <v>0.06</v>
      </c>
      <c r="G19" s="56" t="s">
        <v>122</v>
      </c>
      <c r="H19" s="60">
        <v>0.05</v>
      </c>
      <c r="I19" s="62" t="s">
        <v>135</v>
      </c>
      <c r="J19" s="60">
        <v>0.05</v>
      </c>
      <c r="K19" s="62" t="s">
        <v>145</v>
      </c>
      <c r="L19" s="60">
        <v>7.0000000000000007E-2</v>
      </c>
      <c r="M19" s="63"/>
      <c r="N19" s="63"/>
      <c r="O19" s="63"/>
      <c r="P19" s="63"/>
    </row>
    <row r="20" spans="5:17" x14ac:dyDescent="0.2">
      <c r="E20" s="58" t="s">
        <v>114</v>
      </c>
      <c r="F20" s="59">
        <v>0.08</v>
      </c>
      <c r="G20" s="56" t="s">
        <v>116</v>
      </c>
      <c r="H20" s="60">
        <v>0.05</v>
      </c>
      <c r="I20" s="62" t="s">
        <v>138</v>
      </c>
      <c r="J20" s="60">
        <v>0.05</v>
      </c>
      <c r="K20" s="64" t="s">
        <v>146</v>
      </c>
      <c r="L20" s="65">
        <v>0.12</v>
      </c>
      <c r="M20" s="63"/>
      <c r="N20" s="63"/>
      <c r="O20" s="63"/>
      <c r="P20" s="63"/>
    </row>
    <row r="21" spans="5:17" x14ac:dyDescent="0.2">
      <c r="E21" s="58" t="s">
        <v>115</v>
      </c>
      <c r="F21" s="59">
        <v>0.05</v>
      </c>
      <c r="G21" s="56" t="s">
        <v>117</v>
      </c>
      <c r="H21" s="60">
        <v>0.05</v>
      </c>
      <c r="I21" s="62" t="s">
        <v>141</v>
      </c>
      <c r="J21" s="62"/>
      <c r="K21" s="64" t="s">
        <v>133</v>
      </c>
      <c r="L21" s="65">
        <v>0.08</v>
      </c>
      <c r="M21" s="63"/>
      <c r="N21" s="63"/>
      <c r="O21" s="63"/>
      <c r="P21" s="63"/>
    </row>
    <row r="22" spans="5:17" x14ac:dyDescent="0.2">
      <c r="E22" s="58" t="s">
        <v>116</v>
      </c>
      <c r="F22" s="59">
        <v>0.05</v>
      </c>
      <c r="G22" s="58" t="s">
        <v>112</v>
      </c>
      <c r="H22" s="60">
        <v>0.04</v>
      </c>
      <c r="I22" s="62"/>
      <c r="J22" s="62"/>
      <c r="K22" s="62"/>
      <c r="L22" s="62"/>
      <c r="M22" s="63"/>
      <c r="N22" s="63"/>
      <c r="O22" s="63"/>
      <c r="P22" s="63"/>
    </row>
    <row r="23" spans="5:17" x14ac:dyDescent="0.2">
      <c r="E23" s="58" t="s">
        <v>117</v>
      </c>
      <c r="F23" s="60">
        <v>0.05</v>
      </c>
      <c r="G23" s="56"/>
      <c r="H23" s="57"/>
      <c r="I23" s="62"/>
      <c r="J23" s="62"/>
      <c r="K23" s="62"/>
      <c r="L23" s="62"/>
      <c r="M23" s="63"/>
      <c r="N23" s="63"/>
      <c r="O23" s="63"/>
      <c r="P23" s="63"/>
    </row>
    <row r="24" spans="5:17" x14ac:dyDescent="0.2">
      <c r="E24" s="58"/>
      <c r="F24" s="60"/>
      <c r="G24" s="56"/>
      <c r="H24" s="57"/>
      <c r="I24" s="62"/>
      <c r="J24" s="62"/>
      <c r="K24" s="62"/>
      <c r="L24" s="62"/>
      <c r="M24" s="63"/>
      <c r="N24" s="63"/>
      <c r="O24" s="63"/>
      <c r="P24" s="63"/>
    </row>
    <row r="25" spans="5:17" x14ac:dyDescent="0.2">
      <c r="E25" s="56"/>
      <c r="F25" s="61">
        <f>SUM(F10:F23)</f>
        <v>1</v>
      </c>
      <c r="G25" s="61"/>
      <c r="H25" s="61">
        <f>SUM(H10:H22)</f>
        <v>1</v>
      </c>
      <c r="I25" s="61"/>
      <c r="J25" s="61">
        <f t="shared" ref="J25:L25" si="0">SUM(J10:J22)</f>
        <v>1</v>
      </c>
      <c r="K25" s="61"/>
      <c r="L25" s="61">
        <f t="shared" si="0"/>
        <v>1</v>
      </c>
      <c r="M25" s="63"/>
      <c r="N25" s="63"/>
      <c r="O25" s="63"/>
      <c r="P25" s="63"/>
    </row>
    <row r="26" spans="5:17" x14ac:dyDescent="0.2">
      <c r="E26" s="56"/>
      <c r="F26" s="57"/>
      <c r="G26" s="57"/>
      <c r="H26" s="57"/>
      <c r="I26" s="57"/>
      <c r="J26" s="56"/>
      <c r="K26" s="56"/>
      <c r="L26" s="56"/>
      <c r="M26" s="56"/>
      <c r="N26" s="57"/>
    </row>
    <row r="27" spans="5:17" x14ac:dyDescent="0.2">
      <c r="E27" s="69" t="s">
        <v>125</v>
      </c>
      <c r="F27" s="69"/>
      <c r="G27" s="69"/>
      <c r="H27" s="69"/>
      <c r="I27" s="69"/>
      <c r="J27" s="69"/>
      <c r="K27" s="69"/>
      <c r="L27" s="69"/>
      <c r="M27" s="69"/>
      <c r="N27" s="69"/>
    </row>
    <row r="28" spans="5:17" x14ac:dyDescent="0.2">
      <c r="N28" s="57"/>
    </row>
    <row r="29" spans="5:17" x14ac:dyDescent="0.2">
      <c r="E29" s="56"/>
      <c r="F29" s="57"/>
      <c r="G29" s="57"/>
      <c r="H29" s="57"/>
      <c r="I29" s="57"/>
      <c r="J29" s="56"/>
      <c r="K29" s="56"/>
      <c r="L29" s="56"/>
      <c r="M29" s="56"/>
      <c r="N29" s="57"/>
    </row>
    <row r="30" spans="5:17" x14ac:dyDescent="0.2">
      <c r="E30" s="56"/>
      <c r="F30" s="57"/>
      <c r="G30" s="57"/>
      <c r="H30" s="57"/>
      <c r="I30" s="57"/>
      <c r="J30" s="56"/>
      <c r="K30" s="56"/>
      <c r="L30" s="56"/>
      <c r="M30" s="56"/>
      <c r="N30" s="57"/>
      <c r="Q30" s="55"/>
    </row>
    <row r="31" spans="5:17" x14ac:dyDescent="0.2">
      <c r="Q31" s="55"/>
    </row>
    <row r="32" spans="5:17" x14ac:dyDescent="0.2">
      <c r="Q32" s="57"/>
    </row>
    <row r="33" spans="17:17" x14ac:dyDescent="0.2">
      <c r="Q33" s="57"/>
    </row>
    <row r="34" spans="17:17" x14ac:dyDescent="0.2">
      <c r="Q34" s="57"/>
    </row>
    <row r="35" spans="17:17" x14ac:dyDescent="0.2">
      <c r="Q35" s="55"/>
    </row>
    <row r="36" spans="17:17" x14ac:dyDescent="0.2">
      <c r="Q36" s="57"/>
    </row>
  </sheetData>
  <mergeCells count="2">
    <mergeCell ref="E5:N5"/>
    <mergeCell ref="E27:N2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2CEF9-9F67-474A-93AA-DB480D07366F}">
  <dimension ref="F7:F12"/>
  <sheetViews>
    <sheetView workbookViewId="0">
      <selection activeCell="F13" sqref="F13"/>
    </sheetView>
  </sheetViews>
  <sheetFormatPr baseColWidth="10" defaultRowHeight="16" x14ac:dyDescent="0.2"/>
  <cols>
    <col min="6" max="6" width="16.83203125" bestFit="1" customWidth="1"/>
  </cols>
  <sheetData>
    <row r="7" spans="6:6" x14ac:dyDescent="0.2">
      <c r="F7" t="s">
        <v>99</v>
      </c>
    </row>
    <row r="9" spans="6:6" x14ac:dyDescent="0.2">
      <c r="F9" t="s">
        <v>100</v>
      </c>
    </row>
    <row r="10" spans="6:6" x14ac:dyDescent="0.2">
      <c r="F10" t="s">
        <v>101</v>
      </c>
    </row>
    <row r="11" spans="6:6" x14ac:dyDescent="0.2">
      <c r="F11" t="s">
        <v>102</v>
      </c>
    </row>
    <row r="12" spans="6:6" x14ac:dyDescent="0.2">
      <c r="F12" t="s">
        <v>103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70406-281C-BF4E-8EE4-F910A8131813}">
  <dimension ref="A1"/>
  <sheetViews>
    <sheetView workbookViewId="0">
      <selection activeCell="I8" sqref="I8"/>
    </sheetView>
  </sheetViews>
  <sheetFormatPr baseColWidth="10" defaultRowHeight="16" x14ac:dyDescent="0.2"/>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9220A-A108-5B42-B326-586927B37DA7}">
  <dimension ref="E5:H35"/>
  <sheetViews>
    <sheetView tabSelected="1" workbookViewId="0">
      <selection activeCell="F6" sqref="F6"/>
    </sheetView>
  </sheetViews>
  <sheetFormatPr baseColWidth="10" defaultRowHeight="16" x14ac:dyDescent="0.2"/>
  <cols>
    <col min="5" max="5" width="25" style="85" bestFit="1" customWidth="1"/>
    <col min="6" max="6" width="111.33203125" style="85" bestFit="1" customWidth="1"/>
    <col min="7" max="7" width="28.33203125" style="85" bestFit="1" customWidth="1"/>
    <col min="8" max="8" width="21.33203125" style="85" customWidth="1"/>
  </cols>
  <sheetData>
    <row r="5" spans="5:8" x14ac:dyDescent="0.2">
      <c r="E5" s="85" t="s">
        <v>152</v>
      </c>
      <c r="F5" s="85" t="s">
        <v>149</v>
      </c>
      <c r="G5" s="85" t="s">
        <v>150</v>
      </c>
      <c r="H5" s="85" t="s">
        <v>151</v>
      </c>
    </row>
    <row r="6" spans="5:8" ht="51" x14ac:dyDescent="0.2">
      <c r="E6" s="85" t="s">
        <v>12</v>
      </c>
      <c r="F6" s="86" t="s">
        <v>171</v>
      </c>
      <c r="G6" s="85" t="s">
        <v>166</v>
      </c>
      <c r="H6" s="85" t="s">
        <v>165</v>
      </c>
    </row>
    <row r="7" spans="5:8" ht="51" x14ac:dyDescent="0.2">
      <c r="E7" s="85" t="s">
        <v>13</v>
      </c>
      <c r="F7" s="86" t="s">
        <v>170</v>
      </c>
      <c r="G7" s="85" t="s">
        <v>163</v>
      </c>
      <c r="H7" s="85" t="s">
        <v>164</v>
      </c>
    </row>
    <row r="8" spans="5:8" ht="68" x14ac:dyDescent="0.2">
      <c r="E8" s="85" t="s">
        <v>14</v>
      </c>
      <c r="F8" s="86" t="s">
        <v>169</v>
      </c>
      <c r="G8" s="85" t="s">
        <v>161</v>
      </c>
      <c r="H8" s="85" t="s">
        <v>162</v>
      </c>
    </row>
    <row r="9" spans="5:8" ht="68" x14ac:dyDescent="0.2">
      <c r="E9" s="85" t="s">
        <v>153</v>
      </c>
      <c r="F9" s="86" t="s">
        <v>168</v>
      </c>
      <c r="G9" s="85" t="s">
        <v>16</v>
      </c>
      <c r="H9" s="85" t="s">
        <v>160</v>
      </c>
    </row>
    <row r="10" spans="5:8" ht="68" x14ac:dyDescent="0.2">
      <c r="E10" s="85" t="s">
        <v>16</v>
      </c>
      <c r="F10" s="86" t="s">
        <v>157</v>
      </c>
      <c r="G10" s="85" t="s">
        <v>158</v>
      </c>
      <c r="H10" s="85" t="s">
        <v>159</v>
      </c>
    </row>
    <row r="11" spans="5:8" x14ac:dyDescent="0.2">
      <c r="E11" s="85" t="s">
        <v>136</v>
      </c>
    </row>
    <row r="12" spans="5:8" x14ac:dyDescent="0.2">
      <c r="E12" s="85" t="s">
        <v>126</v>
      </c>
    </row>
    <row r="13" spans="5:8" x14ac:dyDescent="0.2">
      <c r="E13" s="85" t="s">
        <v>154</v>
      </c>
    </row>
    <row r="14" spans="5:8" x14ac:dyDescent="0.2">
      <c r="E14" s="85" t="s">
        <v>155</v>
      </c>
    </row>
    <row r="15" spans="5:8" x14ac:dyDescent="0.2">
      <c r="E15" s="85" t="s">
        <v>156</v>
      </c>
    </row>
    <row r="33" spans="6:6" x14ac:dyDescent="0.2">
      <c r="F33" s="85" t="s">
        <v>168</v>
      </c>
    </row>
    <row r="35" spans="6:6" x14ac:dyDescent="0.2">
      <c r="F35" s="85" t="s">
        <v>167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ETF</vt:lpstr>
      <vt:lpstr>Hybrid</vt:lpstr>
      <vt:lpstr>Foundation (MF)</vt:lpstr>
      <vt:lpstr>Scorecards</vt:lpstr>
      <vt:lpstr>Watchlists</vt:lpstr>
      <vt:lpstr>Benckmarks and Peer Groups</vt:lpstr>
      <vt:lpstr>Model Portfolios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Geffert</dc:creator>
  <cp:lastModifiedBy>John Geffert</cp:lastModifiedBy>
  <dcterms:created xsi:type="dcterms:W3CDTF">2024-12-02T13:36:15Z</dcterms:created>
  <dcterms:modified xsi:type="dcterms:W3CDTF">2026-04-27T20:03:07Z</dcterms:modified>
</cp:coreProperties>
</file>